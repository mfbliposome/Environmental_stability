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csu\Downloads\"/>
    </mc:Choice>
  </mc:AlternateContent>
  <xr:revisionPtr revIDLastSave="0" documentId="13_ncr:1_{767CC842-0167-46BD-B3E0-32A9BA955D92}" xr6:coauthVersionLast="47" xr6:coauthVersionMax="47" xr10:uidLastSave="{00000000-0000-0000-0000-000000000000}"/>
  <bookViews>
    <workbookView xWindow="-108" yWindow="-108" windowWidth="23256" windowHeight="12576" tabRatio="165" firstSheet="1" activeTab="1" xr2:uid="{00000000-000D-0000-FFFF-FFFF00000000}"/>
  </bookViews>
  <sheets>
    <sheet name="Compound Classes" sheetId="5" r:id="rId1"/>
    <sheet name="All compound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9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2" i="4"/>
  <c r="L116" i="4"/>
  <c r="J87" i="4"/>
  <c r="J88" i="4"/>
  <c r="J89" i="4"/>
  <c r="J90" i="4"/>
  <c r="J9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2" i="4"/>
  <c r="K87" i="4" l="1"/>
  <c r="L87" i="4" s="1"/>
  <c r="K88" i="4"/>
  <c r="L88" i="4" s="1"/>
  <c r="K89" i="4"/>
  <c r="L89" i="4" s="1"/>
  <c r="K90" i="4"/>
  <c r="L90" i="4" s="1"/>
  <c r="K91" i="4"/>
  <c r="L91" i="4" s="1"/>
  <c r="K107" i="4"/>
  <c r="L107" i="4" s="1"/>
  <c r="K108" i="4"/>
  <c r="L108" i="4" s="1"/>
  <c r="K109" i="4"/>
  <c r="L109" i="4" s="1"/>
  <c r="K110" i="4"/>
  <c r="L110" i="4" s="1"/>
  <c r="K111" i="4"/>
  <c r="L111" i="4" s="1"/>
  <c r="K116" i="4"/>
  <c r="J3" i="4"/>
  <c r="J4" i="4" l="1"/>
  <c r="H108" i="4"/>
  <c r="H109" i="4"/>
  <c r="H107" i="4"/>
  <c r="J115" i="4"/>
  <c r="K3" i="4" l="1"/>
  <c r="L3" i="4" s="1"/>
  <c r="K4" i="4"/>
  <c r="L4" i="4" s="1"/>
  <c r="J77" i="4"/>
  <c r="J5" i="4"/>
  <c r="J6" i="4"/>
  <c r="J8" i="4"/>
  <c r="J9" i="4"/>
  <c r="J11" i="4"/>
  <c r="J7" i="4"/>
  <c r="J10" i="4"/>
  <c r="J12" i="4"/>
  <c r="J13" i="4"/>
  <c r="J14" i="4"/>
  <c r="J15" i="4"/>
  <c r="J16" i="4"/>
  <c r="J17" i="4"/>
  <c r="J18" i="4"/>
  <c r="J19" i="4"/>
  <c r="J20" i="4"/>
  <c r="J21" i="4"/>
  <c r="J22" i="4"/>
  <c r="J23" i="4"/>
  <c r="J25" i="4"/>
  <c r="J24" i="4"/>
  <c r="J26" i="4"/>
  <c r="J27" i="4"/>
  <c r="J28" i="4"/>
  <c r="J29" i="4"/>
  <c r="J30" i="4"/>
  <c r="J35" i="4"/>
  <c r="J33" i="4"/>
  <c r="J34" i="4"/>
  <c r="J32" i="4"/>
  <c r="J31" i="4"/>
  <c r="J36" i="4"/>
  <c r="J37" i="4"/>
  <c r="J40" i="4"/>
  <c r="J39" i="4"/>
  <c r="J52" i="4"/>
  <c r="J41" i="4"/>
  <c r="J42" i="4"/>
  <c r="J56" i="4"/>
  <c r="J44" i="4"/>
  <c r="J45" i="4"/>
  <c r="J48" i="4"/>
  <c r="J50" i="4"/>
  <c r="J47" i="4"/>
  <c r="J55" i="4"/>
  <c r="J57" i="4"/>
  <c r="J46" i="4"/>
  <c r="J54" i="4"/>
  <c r="J51" i="4"/>
  <c r="J49" i="4"/>
  <c r="J53" i="4"/>
  <c r="J38" i="4"/>
  <c r="J43" i="4"/>
  <c r="J58" i="4"/>
  <c r="J60" i="4"/>
  <c r="J67" i="4"/>
  <c r="J69" i="4"/>
  <c r="J66" i="4"/>
  <c r="J59" i="4"/>
  <c r="J62" i="4"/>
  <c r="J71" i="4"/>
  <c r="J68" i="4"/>
  <c r="J64" i="4"/>
  <c r="J70" i="4"/>
  <c r="J75" i="4"/>
  <c r="J63" i="4"/>
  <c r="J65" i="4"/>
  <c r="J76" i="4"/>
  <c r="J74" i="4"/>
  <c r="J79" i="4"/>
  <c r="J72" i="4"/>
  <c r="J80" i="4"/>
  <c r="J61" i="4"/>
  <c r="J78" i="4"/>
  <c r="J81" i="4"/>
  <c r="J85" i="4"/>
  <c r="J84" i="4"/>
  <c r="J83" i="4"/>
  <c r="J73" i="4"/>
  <c r="J82" i="4"/>
  <c r="J86" i="4"/>
  <c r="J93" i="4"/>
  <c r="J92" i="4"/>
  <c r="J94" i="4"/>
  <c r="J96" i="4"/>
  <c r="J97" i="4"/>
  <c r="J95" i="4"/>
  <c r="J99" i="4"/>
  <c r="J98" i="4"/>
  <c r="J100" i="4"/>
  <c r="J102" i="4"/>
  <c r="J101" i="4"/>
  <c r="J104" i="4"/>
  <c r="J105" i="4"/>
  <c r="J106" i="4"/>
  <c r="J112" i="4"/>
  <c r="J113" i="4"/>
  <c r="J114" i="4"/>
  <c r="K40" i="4" l="1"/>
  <c r="L40" i="4" s="1"/>
  <c r="K44" i="4"/>
  <c r="L44" i="4" s="1"/>
  <c r="K48" i="4"/>
  <c r="L48" i="4" s="1"/>
  <c r="K52" i="4"/>
  <c r="L52" i="4" s="1"/>
  <c r="K56" i="4"/>
  <c r="L56" i="4" s="1"/>
  <c r="K60" i="4"/>
  <c r="L60" i="4" s="1"/>
  <c r="K64" i="4"/>
  <c r="L64" i="4" s="1"/>
  <c r="K71" i="4"/>
  <c r="L71" i="4" s="1"/>
  <c r="K75" i="4"/>
  <c r="L75" i="4" s="1"/>
  <c r="K79" i="4"/>
  <c r="L79" i="4" s="1"/>
  <c r="K83" i="4"/>
  <c r="L83" i="4" s="1"/>
  <c r="K41" i="4"/>
  <c r="L41" i="4" s="1"/>
  <c r="K45" i="4"/>
  <c r="L45" i="4" s="1"/>
  <c r="K49" i="4"/>
  <c r="L49" i="4" s="1"/>
  <c r="K53" i="4"/>
  <c r="L53" i="4" s="1"/>
  <c r="K57" i="4"/>
  <c r="L57" i="4" s="1"/>
  <c r="K61" i="4"/>
  <c r="L61" i="4" s="1"/>
  <c r="K65" i="4"/>
  <c r="L65" i="4" s="1"/>
  <c r="K68" i="4"/>
  <c r="L68" i="4" s="1"/>
  <c r="K72" i="4"/>
  <c r="L72" i="4" s="1"/>
  <c r="K76" i="4"/>
  <c r="L76" i="4" s="1"/>
  <c r="K80" i="4"/>
  <c r="L80" i="4" s="1"/>
  <c r="K84" i="4"/>
  <c r="L84" i="4" s="1"/>
  <c r="K38" i="4"/>
  <c r="L38" i="4" s="1"/>
  <c r="K42" i="4"/>
  <c r="L42" i="4" s="1"/>
  <c r="K46" i="4"/>
  <c r="L46" i="4" s="1"/>
  <c r="K50" i="4"/>
  <c r="L50" i="4" s="1"/>
  <c r="K54" i="4"/>
  <c r="L54" i="4" s="1"/>
  <c r="K58" i="4"/>
  <c r="L58" i="4" s="1"/>
  <c r="K62" i="4"/>
  <c r="L62" i="4" s="1"/>
  <c r="K66" i="4"/>
  <c r="L66" i="4" s="1"/>
  <c r="K69" i="4"/>
  <c r="L69" i="4" s="1"/>
  <c r="K73" i="4"/>
  <c r="L73" i="4" s="1"/>
  <c r="K77" i="4"/>
  <c r="L77" i="4" s="1"/>
  <c r="K81" i="4"/>
  <c r="L81" i="4" s="1"/>
  <c r="K85" i="4"/>
  <c r="L85" i="4" s="1"/>
  <c r="K39" i="4"/>
  <c r="L39" i="4" s="1"/>
  <c r="K43" i="4"/>
  <c r="L43" i="4" s="1"/>
  <c r="K47" i="4"/>
  <c r="L47" i="4" s="1"/>
  <c r="K51" i="4"/>
  <c r="L51" i="4" s="1"/>
  <c r="K55" i="4"/>
  <c r="L55" i="4" s="1"/>
  <c r="K59" i="4"/>
  <c r="L59" i="4" s="1"/>
  <c r="K63" i="4"/>
  <c r="L63" i="4" s="1"/>
  <c r="K67" i="4"/>
  <c r="L67" i="4" s="1"/>
  <c r="K70" i="4"/>
  <c r="L70" i="4" s="1"/>
  <c r="K74" i="4"/>
  <c r="L74" i="4" s="1"/>
  <c r="K78" i="4"/>
  <c r="L78" i="4" s="1"/>
  <c r="K82" i="4"/>
  <c r="L82" i="4" s="1"/>
  <c r="K86" i="4"/>
  <c r="L86" i="4" s="1"/>
  <c r="K114" i="4"/>
  <c r="L114" i="4" s="1"/>
  <c r="K115" i="4"/>
  <c r="L115" i="4" s="1"/>
  <c r="K112" i="4"/>
  <c r="L112" i="4" s="1"/>
  <c r="K113" i="4"/>
  <c r="L113" i="4" s="1"/>
  <c r="K6" i="4"/>
  <c r="L6" i="4" s="1"/>
  <c r="K10" i="4"/>
  <c r="L10" i="4" s="1"/>
  <c r="K14" i="4"/>
  <c r="L14" i="4" s="1"/>
  <c r="K7" i="4"/>
  <c r="L7" i="4" s="1"/>
  <c r="K11" i="4"/>
  <c r="L11" i="4" s="1"/>
  <c r="K15" i="4"/>
  <c r="L15" i="4" s="1"/>
  <c r="K8" i="4"/>
  <c r="L8" i="4" s="1"/>
  <c r="K12" i="4"/>
  <c r="L12" i="4" s="1"/>
  <c r="K5" i="4"/>
  <c r="L5" i="4" s="1"/>
  <c r="K9" i="4"/>
  <c r="L9" i="4" s="1"/>
  <c r="K13" i="4"/>
  <c r="L13" i="4" s="1"/>
  <c r="K37" i="4"/>
  <c r="K93" i="4"/>
  <c r="L93" i="4" s="1"/>
  <c r="K92" i="4"/>
  <c r="L92" i="4" s="1"/>
  <c r="K24" i="4"/>
  <c r="L24" i="4" s="1"/>
  <c r="K32" i="4"/>
  <c r="L32" i="4" s="1"/>
  <c r="K25" i="4"/>
  <c r="L25" i="4" s="1"/>
  <c r="K33" i="4"/>
  <c r="L33" i="4" s="1"/>
  <c r="K23" i="4"/>
  <c r="L23" i="4" s="1"/>
  <c r="K26" i="4"/>
  <c r="L26" i="4" s="1"/>
  <c r="K34" i="4"/>
  <c r="L34" i="4" s="1"/>
  <c r="K27" i="4"/>
  <c r="L27" i="4" s="1"/>
  <c r="K35" i="4"/>
  <c r="L35" i="4" s="1"/>
  <c r="K31" i="4"/>
  <c r="L31" i="4" s="1"/>
  <c r="K28" i="4"/>
  <c r="L28" i="4" s="1"/>
  <c r="K36" i="4"/>
  <c r="L36" i="4" s="1"/>
  <c r="K29" i="4"/>
  <c r="L29" i="4" s="1"/>
  <c r="K30" i="4"/>
  <c r="L30" i="4" s="1"/>
  <c r="K16" i="4"/>
  <c r="L16" i="4" s="1"/>
  <c r="K17" i="4"/>
  <c r="L17" i="4" s="1"/>
  <c r="K18" i="4"/>
  <c r="L18" i="4" s="1"/>
  <c r="K94" i="4"/>
  <c r="L94" i="4" s="1"/>
  <c r="K102" i="4"/>
  <c r="L102" i="4" s="1"/>
  <c r="K95" i="4"/>
  <c r="L95" i="4" s="1"/>
  <c r="K101" i="4"/>
  <c r="L101" i="4" s="1"/>
  <c r="K96" i="4"/>
  <c r="L96" i="4" s="1"/>
  <c r="K97" i="4"/>
  <c r="L97" i="4" s="1"/>
  <c r="K98" i="4"/>
  <c r="L98" i="4" s="1"/>
  <c r="K99" i="4"/>
  <c r="L99" i="4" s="1"/>
  <c r="K100" i="4"/>
  <c r="L100" i="4" s="1"/>
  <c r="K20" i="4"/>
  <c r="L20" i="4" s="1"/>
  <c r="K21" i="4"/>
  <c r="L21" i="4" s="1"/>
  <c r="K22" i="4"/>
  <c r="L22" i="4" s="1"/>
  <c r="K19" i="4"/>
  <c r="L19" i="4" s="1"/>
  <c r="C6" i="5" l="1"/>
  <c r="H103" i="4"/>
  <c r="J103" i="4" s="1"/>
  <c r="K103" i="4" l="1"/>
  <c r="L103" i="4" s="1"/>
  <c r="K104" i="4"/>
  <c r="L104" i="4" s="1"/>
  <c r="K105" i="4"/>
  <c r="L105" i="4" s="1"/>
  <c r="K106" i="4"/>
  <c r="L106" i="4" s="1"/>
  <c r="L117" i="4" l="1"/>
  <c r="L11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0" authorId="0" shapeId="0" xr:uid="{7EB70C39-44B6-D447-96A3-E9F5DFD2C162}">
      <text>
        <r>
          <rPr>
            <sz val="12"/>
            <color rgb="FF000000"/>
            <rFont val="Arial"/>
            <family val="2"/>
          </rPr>
          <t xml:space="preserve">https://pubchem.ncbi.nlm.nih.gov/
</t>
        </r>
        <r>
          <rPr>
            <sz val="12"/>
            <color rgb="FF000000"/>
            <rFont val="Arial"/>
            <family val="2"/>
          </rPr>
          <t>for column</t>
        </r>
      </text>
    </comment>
    <comment ref="I94" authorId="0" shapeId="0" xr:uid="{CD4D3F8E-E63E-6C42-948D-0DC6E04C2B96}">
      <text>
        <r>
          <rPr>
            <sz val="12"/>
            <color rgb="FF000000"/>
            <rFont val="Arial"/>
            <family val="2"/>
          </rPr>
          <t xml:space="preserve">molecular weights are from https://pubchem.ncbi.nlm.nih.gov/
</t>
        </r>
        <r>
          <rPr>
            <sz val="12"/>
            <color rgb="FF000000"/>
            <rFont val="Arial"/>
            <family val="2"/>
          </rPr>
          <t>for entire column</t>
        </r>
      </text>
    </comment>
  </commentList>
</comments>
</file>

<file path=xl/sharedStrings.xml><?xml version="1.0" encoding="utf-8"?>
<sst xmlns="http://schemas.openxmlformats.org/spreadsheetml/2006/main" count="552" uniqueCount="228">
  <si>
    <r>
      <t xml:space="preserve">From Sephton, M. A. Organic compounds in carbonaceous meteorites. </t>
    </r>
    <r>
      <rPr>
        <i/>
        <sz val="12"/>
        <color theme="1"/>
        <rFont val="Arial"/>
        <family val="2"/>
      </rPr>
      <t>Nat. Prod. Rep.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, 292–311 (2002).</t>
    </r>
  </si>
  <si>
    <t>* reported as a range, value is represents the median</t>
  </si>
  <si>
    <t>‡ reported as a minimum value</t>
  </si>
  <si>
    <t>compound class</t>
  </si>
  <si>
    <t>ug/g</t>
  </si>
  <si>
    <t>percent of total organic matter</t>
  </si>
  <si>
    <t>Aliphatic and aromatic hydrocarbons</t>
  </si>
  <si>
    <t>Aliphatic hydrocarbons*</t>
  </si>
  <si>
    <t>Aromatic hydrocarbons*</t>
  </si>
  <si>
    <t>Polar Hydrocarbons</t>
  </si>
  <si>
    <t>monocarboxylic acids</t>
  </si>
  <si>
    <t>dicarboxylic acids</t>
  </si>
  <si>
    <t>amino acids</t>
  </si>
  <si>
    <t>hydroxy acids</t>
  </si>
  <si>
    <t>dicarboximides‡</t>
  </si>
  <si>
    <t>pyridine carboxylic acids‡</t>
  </si>
  <si>
    <t>sulfonic acids</t>
  </si>
  <si>
    <t>phosphonic acids</t>
  </si>
  <si>
    <t>n-heterocycles*</t>
  </si>
  <si>
    <t>amines</t>
  </si>
  <si>
    <t>amides</t>
  </si>
  <si>
    <t>trace</t>
  </si>
  <si>
    <t>polyols</t>
  </si>
  <si>
    <t>purines</t>
  </si>
  <si>
    <t>urea</t>
  </si>
  <si>
    <t>Column1</t>
  </si>
  <si>
    <t xml:space="preserve">percent by weight of each compound class </t>
  </si>
  <si>
    <t>Include in soup?</t>
  </si>
  <si>
    <t>include numerical</t>
  </si>
  <si>
    <t>compound</t>
  </si>
  <si>
    <t>citation</t>
  </si>
  <si>
    <t>nmol/g of meteorite</t>
  </si>
  <si>
    <t>mw</t>
  </si>
  <si>
    <t>ng compound/g meteorite</t>
  </si>
  <si>
    <t>ng each compound class</t>
  </si>
  <si>
    <t>grams for 100 g of soup</t>
  </si>
  <si>
    <t>comments</t>
  </si>
  <si>
    <t>Density</t>
  </si>
  <si>
    <t>measured</t>
  </si>
  <si>
    <t>Column2</t>
  </si>
  <si>
    <t>yes</t>
  </si>
  <si>
    <t>mineral oil</t>
  </si>
  <si>
    <r>
      <t xml:space="preserve">Kissin, Y. V. Hydrocarbon components in carbonaceous meteorites. </t>
    </r>
    <r>
      <rPr>
        <i/>
        <sz val="12"/>
        <color theme="1"/>
        <rFont val="Arial"/>
        <family val="2"/>
      </rPr>
      <t>Geochim. Cosmochim. Acta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67</t>
    </r>
    <r>
      <rPr>
        <sz val="12"/>
        <color theme="1"/>
        <rFont val="Arial"/>
        <family val="2"/>
      </rPr>
      <t>, 1723–1735 (2003).</t>
    </r>
  </si>
  <si>
    <t>not given</t>
  </si>
  <si>
    <t>none</t>
  </si>
  <si>
    <t>mineral oil hydrocarbons are a bit larger than the hydrocarbons in Murchison, but does an approximate job at generating an oil phase</t>
  </si>
  <si>
    <t>Amines</t>
  </si>
  <si>
    <t>Methylamine</t>
  </si>
  <si>
    <r>
      <t xml:space="preserve">Pizzarello, S., Feng, X., Epstein, S., &amp; Cronin, J. R. (1994). Isotopic analyses of nitrogenous compounds from the Murchison meteorite: ammonia, amines, amino acids, and polar hydrocarbons. </t>
    </r>
    <r>
      <rPr>
        <i/>
        <sz val="12"/>
        <color theme="1"/>
        <rFont val="Arial"/>
        <family val="2"/>
      </rPr>
      <t>Geochimica et Cosmochimica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58</t>
    </r>
    <r>
      <rPr>
        <sz val="12"/>
        <color theme="1"/>
        <rFont val="Arial"/>
        <family val="2"/>
      </rPr>
      <t>(24), 5579–5587. https://doi.org/10.1016/0016-7037(94)90251-9</t>
    </r>
    <r>
      <rPr>
        <sz val="12"/>
        <color theme="1"/>
        <rFont val="Calibri"/>
        <family val="2"/>
        <scheme val="minor"/>
      </rPr>
      <t/>
    </r>
  </si>
  <si>
    <t>STINKY</t>
  </si>
  <si>
    <t>Ethylamine</t>
  </si>
  <si>
    <r>
      <t xml:space="preserve">Pizzarello, S., Feng, X., Epstein, S., &amp; Cronin, J. R. (1994). Isotopic analyses of nitrogenous compounds from the Murchison meteorite: ammonia, amines, amino acids, and polar hydrocarbons. </t>
    </r>
    <r>
      <rPr>
        <i/>
        <sz val="12"/>
        <color theme="1"/>
        <rFont val="Arial"/>
        <family val="2"/>
      </rPr>
      <t>Geochimica et Cosmochimica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58</t>
    </r>
    <r>
      <rPr>
        <sz val="12"/>
        <color theme="1"/>
        <rFont val="Arial"/>
        <family val="2"/>
      </rPr>
      <t>(24), 5579–5587. https://doi.org/10.1016/0016-7037(94)90251-10</t>
    </r>
    <r>
      <rPr>
        <sz val="12"/>
        <color theme="1"/>
        <rFont val="Calibri"/>
        <family val="2"/>
        <scheme val="minor"/>
      </rPr>
      <t/>
    </r>
  </si>
  <si>
    <t>Bubble In</t>
  </si>
  <si>
    <t>Amino acids</t>
  </si>
  <si>
    <t>valine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</si>
  <si>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https://doi.org/10.1016/0273-1177(83)90036-13</t>
    </r>
    <r>
      <rPr>
        <sz val="12"/>
        <color theme="1"/>
        <rFont val="Calibri"/>
        <family val="2"/>
        <scheme val="minor"/>
      </rPr>
      <t/>
    </r>
  </si>
  <si>
    <t>beta-alanine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</si>
  <si>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https://doi.org/10.1016/0273-1177(83)90036-6</t>
    </r>
    <r>
      <rPr>
        <sz val="12"/>
        <color theme="1"/>
        <rFont val="Calibri"/>
        <family val="2"/>
        <scheme val="minor"/>
      </rPr>
      <t/>
    </r>
  </si>
  <si>
    <t>sarcosine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</si>
  <si>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https://doi.org/10.1016/0273-1177(83)90036-7</t>
    </r>
    <r>
      <rPr>
        <sz val="12"/>
        <color theme="1"/>
        <rFont val="Calibri"/>
        <family val="2"/>
        <scheme val="minor"/>
      </rPr>
      <t/>
    </r>
  </si>
  <si>
    <t>proline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</si>
  <si>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https://doi.org/10.1016/0273-1177(83)90036-17</t>
    </r>
    <r>
      <rPr>
        <sz val="12"/>
        <color theme="1"/>
        <rFont val="Calibri"/>
        <family val="2"/>
        <scheme val="minor"/>
      </rPr>
      <t/>
    </r>
  </si>
  <si>
    <t>alpha-aminobutyric acid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</si>
  <si>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https://doi.org/10.1016/0273-1177(83)90036-8</t>
    </r>
    <r>
      <rPr>
        <sz val="12"/>
        <color theme="1"/>
        <rFont val="Calibri"/>
        <family val="2"/>
        <scheme val="minor"/>
      </rPr>
      <t/>
    </r>
  </si>
  <si>
    <t>gamma-aminobutyric acid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</si>
  <si>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https://doi.org/10.1016/0273-1177(83)90036-12</t>
    </r>
    <r>
      <rPr>
        <sz val="12"/>
        <color theme="1"/>
        <rFont val="Calibri"/>
        <family val="2"/>
        <scheme val="minor"/>
      </rPr>
      <t/>
    </r>
  </si>
  <si>
    <t>glutamic acid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</si>
  <si>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https://doi.org/10.1016/0273-1177(83)90036-21</t>
    </r>
    <r>
      <rPr>
        <sz val="12"/>
        <color theme="1"/>
        <rFont val="Calibri"/>
        <family val="2"/>
        <scheme val="minor"/>
      </rPr>
      <t/>
    </r>
  </si>
  <si>
    <t>isovaline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</si>
  <si>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https://doi.org/10.1016/0273-1177(83)90036-14</t>
    </r>
    <r>
      <rPr>
        <sz val="12"/>
        <color theme="1"/>
        <rFont val="Calibri"/>
        <family val="2"/>
        <scheme val="minor"/>
      </rPr>
      <t/>
    </r>
  </si>
  <si>
    <t>alanine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</si>
  <si>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https://doi.org/10.1016/0273-1177(83)90036-5</t>
    </r>
    <r>
      <rPr>
        <sz val="12"/>
        <color theme="1"/>
        <rFont val="Calibri"/>
        <family val="2"/>
        <scheme val="minor"/>
      </rPr>
      <t/>
    </r>
  </si>
  <si>
    <t>glycine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</si>
  <si>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https://doi.org/10.1016/0273-1177(83)90036-4</t>
    </r>
  </si>
  <si>
    <t>alpha-aminoisobutyric acid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</si>
  <si>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https://doi.org/10.1016/0273-1177(83)90036-9</t>
    </r>
    <r>
      <rPr>
        <sz val="12"/>
        <color theme="1"/>
        <rFont val="Calibri"/>
        <family val="2"/>
        <scheme val="minor"/>
      </rPr>
      <t/>
    </r>
  </si>
  <si>
    <t>adipamic acid</t>
  </si>
  <si>
    <r>
      <t xml:space="preserve">Cooper, G. W., &amp; Cronin, J. R. (1995). Linear and cyclic aliphatic carboxamides of the Murchison meteorite: Hydrolyzable derivatives of amino acids and other carboxylic acids. </t>
    </r>
    <r>
      <rPr>
        <i/>
        <sz val="12"/>
        <color theme="1"/>
        <rFont val="Arial"/>
        <family val="2"/>
      </rPr>
      <t>Geochimica et Cosmochimica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59</t>
    </r>
    <r>
      <rPr>
        <sz val="12"/>
        <color theme="1"/>
        <rFont val="Arial"/>
        <family val="2"/>
      </rPr>
      <t>(5), 1003–1015. https://doi.org/https://doi.org/10.1016/0016-7037(95)00018-8</t>
    </r>
    <r>
      <rPr>
        <sz val="12"/>
        <color theme="1"/>
        <rFont val="Calibri"/>
        <family val="2"/>
        <scheme val="minor"/>
      </rPr>
      <t/>
    </r>
  </si>
  <si>
    <t>No Stock</t>
  </si>
  <si>
    <t>glutaramic acid</t>
  </si>
  <si>
    <r>
      <t xml:space="preserve">Cooper, G. W., &amp; Cronin, J. R. (1995). Linear and cyclic aliphatic carboxamides of the Murchison meteorite: Hydrolyzable derivatives of amino acids and other carboxylic acids. </t>
    </r>
    <r>
      <rPr>
        <i/>
        <sz val="12"/>
        <color theme="1"/>
        <rFont val="Arial"/>
        <family val="2"/>
      </rPr>
      <t>Geochimica et Cosmochimica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59</t>
    </r>
    <r>
      <rPr>
        <sz val="12"/>
        <color theme="1"/>
        <rFont val="Arial"/>
        <family val="2"/>
      </rPr>
      <t>(5), 1003–1015. https://doi.org/https://doi.org/10.1016/0016-7037(95)00018-7</t>
    </r>
    <r>
      <rPr>
        <sz val="12"/>
        <color theme="1"/>
        <rFont val="Calibri"/>
        <family val="2"/>
        <scheme val="minor"/>
      </rPr>
      <t/>
    </r>
  </si>
  <si>
    <t>succinamic acid</t>
  </si>
  <si>
    <r>
      <t xml:space="preserve">Cooper, G. W., &amp; Cronin, J. R. (1995). Linear and cyclic aliphatic carboxamides of the Murchison meteorite: Hydrolyzable derivatives of amino acids and other carboxylic acids. </t>
    </r>
    <r>
      <rPr>
        <i/>
        <sz val="12"/>
        <color theme="1"/>
        <rFont val="Arial"/>
        <family val="2"/>
      </rPr>
      <t>Geochimica et Cosmochimica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59</t>
    </r>
    <r>
      <rPr>
        <sz val="12"/>
        <color theme="1"/>
        <rFont val="Arial"/>
        <family val="2"/>
      </rPr>
      <t>(5), 1003–1015. https://doi.org/https://doi.org/10.1016/0016-7037(95)00018-6</t>
    </r>
  </si>
  <si>
    <t>Dicarboxylic acids</t>
  </si>
  <si>
    <t>methyl succinic</t>
  </si>
  <si>
    <r>
      <t xml:space="preserve">Pizzarello, S., &amp; Huang, Y. (2002). Molecular and isotopic analyses of Tagish Lake alkyl dicarboxylic acids. </t>
    </r>
    <r>
      <rPr>
        <i/>
        <sz val="12"/>
        <color theme="1"/>
        <rFont val="Arial"/>
        <family val="2"/>
      </rPr>
      <t>Meteoritics and Planetary Science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37</t>
    </r>
    <r>
      <rPr>
        <sz val="12"/>
        <color theme="1"/>
        <rFont val="Arial"/>
        <family val="2"/>
      </rPr>
      <t>(5), 687–696. https://doi.org/10.1111/j.1945-5100.2002.tb00848.x</t>
    </r>
  </si>
  <si>
    <t>adipic</t>
  </si>
  <si>
    <t>glutaric</t>
  </si>
  <si>
    <t>succinic</t>
  </si>
  <si>
    <t>Hydroxy acids</t>
  </si>
  <si>
    <t>D,L-3-Hydroxybutyric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</si>
  <si>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https://doi.org/10.1016/0273-1177(83)90036-43</t>
    </r>
    <r>
      <rPr>
        <sz val="12"/>
        <color theme="1"/>
        <rFont val="Calibri"/>
        <family val="2"/>
        <scheme val="minor"/>
      </rPr>
      <t/>
    </r>
  </si>
  <si>
    <t>D,L-3-Hydroxyisobutyric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</si>
  <si>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https://doi.org/10.1016/0273-1177(83)90036-44</t>
    </r>
    <r>
      <rPr>
        <sz val="12"/>
        <color theme="1"/>
        <rFont val="Calibri"/>
        <family val="2"/>
        <scheme val="minor"/>
      </rPr>
      <t/>
    </r>
  </si>
  <si>
    <t>Out of Stock (Depleted)</t>
  </si>
  <si>
    <t>L-2-Hydroxy-3-methylbutyric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</si>
  <si>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https://doi.org/10.1016/0273-1177(83)90036-35</t>
    </r>
    <r>
      <rPr>
        <sz val="12"/>
        <color theme="1"/>
        <rFont val="Calibri"/>
        <family val="2"/>
        <scheme val="minor"/>
      </rPr>
      <t/>
    </r>
  </si>
  <si>
    <t>D-2-Hydroxy-3-methylbutyric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</si>
  <si>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https://doi.org/10.1016/0273-1177(83)90036-34</t>
    </r>
    <r>
      <rPr>
        <sz val="12"/>
        <color theme="1"/>
        <rFont val="Calibri"/>
        <family val="2"/>
        <scheme val="minor"/>
      </rPr>
      <t/>
    </r>
  </si>
  <si>
    <t>2-Hydroxyisobutyric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</si>
  <si>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https://doi.org/10.1016/0273-1177(83)90036-31</t>
    </r>
    <r>
      <rPr>
        <sz val="12"/>
        <color theme="1"/>
        <rFont val="Calibri"/>
        <family val="2"/>
        <scheme val="minor"/>
      </rPr>
      <t/>
    </r>
  </si>
  <si>
    <t>D-Lactic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</si>
  <si>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https://doi.org/10.1016/0273-1177(83)90036-24</t>
    </r>
    <r>
      <rPr>
        <sz val="12"/>
        <color theme="1"/>
        <rFont val="Calibri"/>
        <family val="2"/>
        <scheme val="minor"/>
      </rPr>
      <t/>
    </r>
  </si>
  <si>
    <t>L-Lactic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</si>
  <si>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https://doi.org/10.1016/0273-1177(83)90036-25</t>
    </r>
    <r>
      <rPr>
        <sz val="12"/>
        <color theme="1"/>
        <rFont val="Calibri"/>
        <family val="2"/>
        <scheme val="minor"/>
      </rPr>
      <t/>
    </r>
  </si>
  <si>
    <t>b-Lactic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</si>
  <si>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https://doi.org/10.1016/0273-1177(83)90036-42</t>
    </r>
    <r>
      <rPr>
        <sz val="12"/>
        <color theme="1"/>
        <rFont val="Calibri"/>
        <family val="2"/>
        <scheme val="minor"/>
      </rPr>
      <t/>
    </r>
  </si>
  <si>
    <t>Glycolic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</si>
  <si>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https://doi.org/10.1016/0273-1177(83)90036-23</t>
    </r>
    <r>
      <rPr>
        <sz val="12"/>
        <color theme="1"/>
        <rFont val="Calibri"/>
        <family val="2"/>
        <scheme val="minor"/>
      </rPr>
      <t/>
    </r>
  </si>
  <si>
    <t>D,L-2-alloHydroxy-3-methylvaleric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</si>
  <si>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https://doi.org/10.1016/0273-1177(83)90036-41</t>
    </r>
    <r>
      <rPr>
        <sz val="12"/>
        <color theme="1"/>
        <rFont val="Calibri"/>
        <family val="2"/>
        <scheme val="minor"/>
      </rPr>
      <t/>
    </r>
  </si>
  <si>
    <t>D,L-2-Hydroxyisocaproic (Leucic Acid)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</si>
  <si>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https://doi.org/10.1016/0273-1177(83)90036-39</t>
    </r>
    <r>
      <rPr>
        <sz val="12"/>
        <color theme="1"/>
        <rFont val="Calibri"/>
        <family val="2"/>
        <scheme val="minor"/>
      </rPr>
      <t/>
    </r>
  </si>
  <si>
    <t>D,L-2-Hydroxy-3-methylvaleric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</si>
  <si>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https://doi.org/10.1016/0273-1177(83)90036-40</t>
    </r>
    <r>
      <rPr>
        <sz val="12"/>
        <color theme="1"/>
        <rFont val="Calibri"/>
        <family val="2"/>
        <scheme val="minor"/>
      </rPr>
      <t/>
    </r>
  </si>
  <si>
    <t>D,L-2-Hydroxyglutaric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</si>
  <si>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https://doi.org/10.1016/0273-1177(83)90036-45</t>
    </r>
    <r>
      <rPr>
        <sz val="12"/>
        <color theme="1"/>
        <rFont val="Calibri"/>
        <family val="2"/>
        <scheme val="minor"/>
      </rPr>
      <t/>
    </r>
  </si>
  <si>
    <t>D,L-2-Hydroxycaproic (2-Hydroxyhexanoic acid)</t>
  </si>
  <si>
    <r>
      <t xml:space="preserve">Cronin, J. R., &amp; Pizzarello, S. (1983). Amino acids in meteorites. </t>
    </r>
    <r>
      <rPr>
        <i/>
        <sz val="12"/>
        <color theme="1"/>
        <rFont val="Arial"/>
        <family val="2"/>
      </rPr>
      <t>Advances in Space Research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(9), 5–18. https://doi.org/10.1016/0273-1177(83)90036-30</t>
    </r>
    <r>
      <rPr>
        <sz val="12"/>
        <color theme="1"/>
        <rFont val="Calibri"/>
        <family val="2"/>
        <scheme val="minor"/>
      </rPr>
      <t/>
    </r>
  </si>
  <si>
    <t>Imino acids</t>
  </si>
  <si>
    <t>iminopropionicacetic*</t>
  </si>
  <si>
    <r>
      <t xml:space="preserve">Lerner, N. R., &amp; Cooper, G. W. (2005). Iminodicarboxylic acids in the Murchison meteorite: Evidence of Strecker reactions. </t>
    </r>
    <r>
      <rPr>
        <i/>
        <sz val="12"/>
        <color theme="1"/>
        <rFont val="Arial"/>
        <family val="2"/>
      </rPr>
      <t>Geochimica et Cosmochimica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69</t>
    </r>
    <r>
      <rPr>
        <sz val="12"/>
        <color theme="1"/>
        <rFont val="Arial"/>
        <family val="2"/>
      </rPr>
      <t>(11), 2901–2906. https://doi.org/https://doi.org/10.1016/j.gca.2004.12.025</t>
    </r>
    <r>
      <rPr>
        <sz val="12"/>
        <color theme="1"/>
        <rFont val="Calibri"/>
        <family val="2"/>
        <scheme val="minor"/>
      </rPr>
      <t/>
    </r>
  </si>
  <si>
    <t>nmol/g estimated based on glycine value</t>
  </si>
  <si>
    <t>monoCarboxylic acids</t>
  </si>
  <si>
    <t>3,6-dimethylheptanoic</t>
  </si>
  <si>
    <r>
      <t xml:space="preserve">Huang, Y., Wang, Y., Alexandre, M. R., Lee, T., Rose-Petruck, C., Fuller, M., &amp; Pizzarello, S. (2005). Molecular and compound-specific isotopic characterization of monocarboxylic acids in carboneous meteorites. </t>
    </r>
    <r>
      <rPr>
        <i/>
        <sz val="12"/>
        <color theme="1"/>
        <rFont val="Arial"/>
        <family val="2"/>
      </rPr>
      <t>Geochim. Cosmochim.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69</t>
    </r>
    <r>
      <rPr>
        <sz val="12"/>
        <color theme="1"/>
        <rFont val="Arial"/>
        <family val="2"/>
      </rPr>
      <t>, 1073–1084. Retrieved from Am, pdf</t>
    </r>
  </si>
  <si>
    <t>Formic</t>
  </si>
  <si>
    <t>2-ethylbutanoic acid</t>
  </si>
  <si>
    <t>3,3-dimethylbutanoic (tert-butylacetic acid)</t>
  </si>
  <si>
    <t>3,4-dimethylpentanoic</t>
  </si>
  <si>
    <t>2-methylpropanoic (Isobutyric acid)</t>
  </si>
  <si>
    <t>2,4-dimethylpentanoic</t>
  </si>
  <si>
    <t>2-ethyl,2-methylbutanoic</t>
  </si>
  <si>
    <t>2,2-dimethylbutanoic (2,2-dimethylbutyric acid)</t>
  </si>
  <si>
    <t>2-ethyl,3-methylbutanoic</t>
  </si>
  <si>
    <t>3,5-dimethylhexanoic</t>
  </si>
  <si>
    <t>2,3-dimethylbutanoic</t>
  </si>
  <si>
    <t>2,2-dimethylhexanoic</t>
  </si>
  <si>
    <t>2,2-dimethylpropanoic (pivalic acid)</t>
  </si>
  <si>
    <t>Decanoic</t>
  </si>
  <si>
    <t>4-methylpentanoic (4-methylvaleric acid)</t>
  </si>
  <si>
    <t>2,2-dimethylpentanoic (2,2-dimethylvaleric acid)</t>
  </si>
  <si>
    <t>2-propylpentanoic (2-propylvaleric acid)</t>
  </si>
  <si>
    <t>2-methylnonanoic</t>
  </si>
  <si>
    <t>2-ethyl, 4-methylpentanoic</t>
  </si>
  <si>
    <t>2,3-dimethylpentanoic</t>
  </si>
  <si>
    <t>2-methylpentanoic (2-methylvaleric acid)</t>
  </si>
  <si>
    <t>3-ethylpentanoic</t>
  </si>
  <si>
    <t>Butanoic (Butyric acid)</t>
  </si>
  <si>
    <t>2-methylhexanoic</t>
  </si>
  <si>
    <t>3-methylpentanoic</t>
  </si>
  <si>
    <t>2-ethylpentanoic</t>
  </si>
  <si>
    <t>Caprolactam</t>
  </si>
  <si>
    <t>4-methylheptanoic</t>
  </si>
  <si>
    <t>3-methyloctanoic</t>
  </si>
  <si>
    <t>Octanoic</t>
  </si>
  <si>
    <t>2,3-dimethylheptanoic</t>
  </si>
  <si>
    <t>3,4-dimethylhexanoic</t>
  </si>
  <si>
    <t>4-methyloctanoic (4-Methyl-n-octanoic acid)</t>
  </si>
  <si>
    <t>Benzoic</t>
  </si>
  <si>
    <t>Propanoic (Propionic)</t>
  </si>
  <si>
    <t>4-methylhexanoic</t>
  </si>
  <si>
    <t>2-methyloctanoic</t>
  </si>
  <si>
    <t>2-ethylhexanoic</t>
  </si>
  <si>
    <t>Pentanoic (Valeric acid)</t>
  </si>
  <si>
    <t>3-methylhexanoic</t>
  </si>
  <si>
    <t>3-methylheptanoic</t>
  </si>
  <si>
    <t>2-methylheptanoic</t>
  </si>
  <si>
    <t>Heptanoic</t>
  </si>
  <si>
    <t>2 and 3-methylbutanoic (isovaleric acid)</t>
  </si>
  <si>
    <t>Hexanoic</t>
  </si>
  <si>
    <t>2,3-dimethylhexanoic</t>
  </si>
  <si>
    <t>Nonanoic</t>
  </si>
  <si>
    <t>Acetic</t>
  </si>
  <si>
    <t>pyroglutamic acid</t>
  </si>
  <si>
    <t>no specified nmol/g</t>
  </si>
  <si>
    <t>2-pyrrolidone</t>
  </si>
  <si>
    <t>parabanic acid</t>
  </si>
  <si>
    <r>
      <t xml:space="preserve">Cooper, G. W., &amp; Cronin, J. R. (1995). Linear and cyclic aliphatic carboxamides of the Murchison meteorite: Hydrolyzable derivatives of amino acids and other carboxylic acids. </t>
    </r>
    <r>
      <rPr>
        <i/>
        <sz val="12"/>
        <color theme="1"/>
        <rFont val="Arial"/>
        <family val="2"/>
      </rPr>
      <t>Geochimica et Cosmochimica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59</t>
    </r>
    <r>
      <rPr>
        <sz val="12"/>
        <color theme="1"/>
        <rFont val="Arial"/>
        <family val="2"/>
      </rPr>
      <t>(5), 1003–1015. https://doi.org/https://doi.org/10.1016/0016-7037(95)00018-9</t>
    </r>
    <r>
      <rPr>
        <sz val="12"/>
        <color theme="1"/>
        <rFont val="Calibri"/>
        <family val="2"/>
        <scheme val="minor"/>
      </rPr>
      <t/>
    </r>
  </si>
  <si>
    <t>succinimide</t>
  </si>
  <si>
    <r>
      <t xml:space="preserve">Cooper, G. W., &amp; Cronin, J. R. (1995). Linear and cyclic aliphatic carboxamides of the Murchison meteorite: Hydrolyzable derivatives of amino acids and other carboxylic acids. </t>
    </r>
    <r>
      <rPr>
        <i/>
        <sz val="12"/>
        <color theme="1"/>
        <rFont val="Arial"/>
        <family val="2"/>
      </rPr>
      <t>Geochimica et Cosmochimica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59</t>
    </r>
    <r>
      <rPr>
        <sz val="12"/>
        <color theme="1"/>
        <rFont val="Arial"/>
        <family val="2"/>
      </rPr>
      <t>(5), 1003–1015. https://doi.org/https://doi.org/10.1016/0016-7037(95)00018-10</t>
    </r>
    <r>
      <rPr>
        <sz val="12"/>
        <color theme="1"/>
        <rFont val="Calibri"/>
        <family val="2"/>
        <scheme val="minor"/>
      </rPr>
      <t/>
    </r>
  </si>
  <si>
    <t>glutarimide</t>
  </si>
  <si>
    <r>
      <t xml:space="preserve">Cooper, G. W., &amp; Cronin, J. R. (1995). Linear and cyclic aliphatic carboxamides of the Murchison meteorite: Hydrolyzable derivatives of amino acids and other carboxylic acids. </t>
    </r>
    <r>
      <rPr>
        <i/>
        <sz val="12"/>
        <color theme="1"/>
        <rFont val="Arial"/>
        <family val="2"/>
      </rPr>
      <t>Geochimica et Cosmochimica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59</t>
    </r>
    <r>
      <rPr>
        <sz val="12"/>
        <color theme="1"/>
        <rFont val="Arial"/>
        <family val="2"/>
      </rPr>
      <t>(5), 1003–1015. https://doi.org/https://doi.org/10.1016/0016-7037(95)00018-11</t>
    </r>
    <r>
      <rPr>
        <sz val="12"/>
        <color theme="1"/>
        <rFont val="Calibri"/>
        <family val="2"/>
        <scheme val="minor"/>
      </rPr>
      <t/>
    </r>
  </si>
  <si>
    <t>Phosphonic acids</t>
  </si>
  <si>
    <t>methylphosphonic acid</t>
  </si>
  <si>
    <r>
      <t xml:space="preserve">Cooper, G. W., Onwo, W. M., &amp; Cronin, J. R. (1992). Alkyl phosphonic acids and sulfonic acids in the Murchison meteorite. </t>
    </r>
    <r>
      <rPr>
        <i/>
        <sz val="12"/>
        <color theme="1"/>
        <rFont val="Arial"/>
        <family val="2"/>
      </rPr>
      <t>Geochimica et Cosmochimica Acta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56</t>
    </r>
    <r>
      <rPr>
        <sz val="12"/>
        <color theme="1"/>
        <rFont val="Arial"/>
        <family val="2"/>
      </rPr>
      <t>(11), 4109–4115. https://doi.org/10.1016/0016-7037(92)90023-C</t>
    </r>
  </si>
  <si>
    <t>ethyl phosphonic acid</t>
  </si>
  <si>
    <t>Polar hydrocarbons</t>
  </si>
  <si>
    <t>Formaldehyde</t>
  </si>
  <si>
    <r>
      <t xml:space="preserve">Pizzarello, S., &amp; Holmes, W. (2009). Nitrogen-containing compounds in two CR2 meteorites: 15N composition, molecular distribution and precursor molecules. </t>
    </r>
    <r>
      <rPr>
        <i/>
        <sz val="12"/>
        <color theme="1"/>
        <rFont val="Calibri"/>
        <family val="2"/>
      </rPr>
      <t>Geochimica et Cosmochimica Acta</t>
    </r>
    <r>
      <rPr>
        <sz val="12"/>
        <color theme="1"/>
        <rFont val="Calibri"/>
        <family val="2"/>
      </rPr>
      <t xml:space="preserve">, </t>
    </r>
    <r>
      <rPr>
        <i/>
        <sz val="12"/>
        <color theme="1"/>
        <rFont val="Calibri"/>
        <family val="2"/>
      </rPr>
      <t>73</t>
    </r>
    <r>
      <rPr>
        <sz val="12"/>
        <color theme="1"/>
        <rFont val="Calibri"/>
        <family val="2"/>
      </rPr>
      <t>(7), 2150–2162. https://doi.org/10.1016/j.gca.2009.01.022</t>
    </r>
  </si>
  <si>
    <t>Acetaldehyde</t>
  </si>
  <si>
    <r>
      <t xml:space="preserve">Pizzarello, S., &amp; Holmes, W. (2009). Nitrogen-containing compounds in two CR2 meteorites: 15N composition, molecular distribution and precursor molecules. </t>
    </r>
    <r>
      <rPr>
        <i/>
        <sz val="12"/>
        <color theme="1"/>
        <rFont val="Calibri"/>
        <family val="2"/>
      </rPr>
      <t>Geochimica et Cosmochimica Acta</t>
    </r>
    <r>
      <rPr>
        <sz val="12"/>
        <color theme="1"/>
        <rFont val="Calibri"/>
        <family val="2"/>
      </rPr>
      <t xml:space="preserve">, </t>
    </r>
    <r>
      <rPr>
        <i/>
        <sz val="12"/>
        <color theme="1"/>
        <rFont val="Calibri"/>
        <family val="2"/>
      </rPr>
      <t>73</t>
    </r>
    <r>
      <rPr>
        <sz val="12"/>
        <color theme="1"/>
        <rFont val="Calibri"/>
        <family val="2"/>
      </rPr>
      <t>(7), 2150–2162. https://doi.org/10.1016/j.gca.2009.01.023</t>
    </r>
    <r>
      <rPr>
        <sz val="12"/>
        <color theme="1"/>
        <rFont val="Calibri"/>
        <family val="2"/>
        <scheme val="minor"/>
      </rPr>
      <t/>
    </r>
  </si>
  <si>
    <t>Hexanal</t>
  </si>
  <si>
    <r>
      <t xml:space="preserve">Pizzarello, S., &amp; Holmes, W. (2009). Nitrogen-containing compounds in two CR2 meteorites: 15N composition, molecular distribution and precursor molecules. </t>
    </r>
    <r>
      <rPr>
        <i/>
        <sz val="12"/>
        <color theme="1"/>
        <rFont val="Calibri"/>
        <family val="2"/>
      </rPr>
      <t>Geochimica et Cosmochimica Acta</t>
    </r>
    <r>
      <rPr>
        <sz val="12"/>
        <color theme="1"/>
        <rFont val="Calibri"/>
        <family val="2"/>
      </rPr>
      <t xml:space="preserve">, </t>
    </r>
    <r>
      <rPr>
        <i/>
        <sz val="12"/>
        <color theme="1"/>
        <rFont val="Calibri"/>
        <family val="2"/>
      </rPr>
      <t>73</t>
    </r>
    <r>
      <rPr>
        <sz val="12"/>
        <color theme="1"/>
        <rFont val="Calibri"/>
        <family val="2"/>
      </rPr>
      <t>(7), 2150–2162. https://doi.org/10.1016/j.gca.2009.01.029</t>
    </r>
    <r>
      <rPr>
        <sz val="12"/>
        <color theme="1"/>
        <rFont val="Calibri"/>
        <family val="2"/>
        <scheme val="minor"/>
      </rPr>
      <t/>
    </r>
  </si>
  <si>
    <t>Propionaldehyde</t>
  </si>
  <si>
    <r>
      <t xml:space="preserve">Pizzarello, S., &amp; Holmes, W. (2009). Nitrogen-containing compounds in two CR2 meteorites: 15N composition, molecular distribution and precursor molecules. </t>
    </r>
    <r>
      <rPr>
        <i/>
        <sz val="12"/>
        <color theme="1"/>
        <rFont val="Calibri"/>
        <family val="2"/>
      </rPr>
      <t>Geochimica et Cosmochimica Acta</t>
    </r>
    <r>
      <rPr>
        <sz val="12"/>
        <color theme="1"/>
        <rFont val="Calibri"/>
        <family val="2"/>
      </rPr>
      <t xml:space="preserve">, </t>
    </r>
    <r>
      <rPr>
        <i/>
        <sz val="12"/>
        <color theme="1"/>
        <rFont val="Calibri"/>
        <family val="2"/>
      </rPr>
      <t>73</t>
    </r>
    <r>
      <rPr>
        <sz val="12"/>
        <color theme="1"/>
        <rFont val="Calibri"/>
        <family val="2"/>
      </rPr>
      <t>(7), 2150–2162. https://doi.org/10.1016/j.gca.2009.01.024</t>
    </r>
    <r>
      <rPr>
        <sz val="12"/>
        <color theme="1"/>
        <rFont val="Calibri"/>
        <family val="2"/>
        <scheme val="minor"/>
      </rPr>
      <t/>
    </r>
  </si>
  <si>
    <t>Butyraldehyde</t>
  </si>
  <si>
    <r>
      <t xml:space="preserve">Pizzarello, S., &amp; Holmes, W. (2009). Nitrogen-containing compounds in two CR2 meteorites: 15N composition, molecular distribution and precursor molecules. </t>
    </r>
    <r>
      <rPr>
        <i/>
        <sz val="12"/>
        <color theme="1"/>
        <rFont val="Calibri"/>
        <family val="2"/>
      </rPr>
      <t>Geochimica et Cosmochimica Acta</t>
    </r>
    <r>
      <rPr>
        <sz val="12"/>
        <color theme="1"/>
        <rFont val="Calibri"/>
        <family val="2"/>
      </rPr>
      <t xml:space="preserve">, </t>
    </r>
    <r>
      <rPr>
        <i/>
        <sz val="12"/>
        <color theme="1"/>
        <rFont val="Calibri"/>
        <family val="2"/>
      </rPr>
      <t>73</t>
    </r>
    <r>
      <rPr>
        <sz val="12"/>
        <color theme="1"/>
        <rFont val="Calibri"/>
        <family val="2"/>
      </rPr>
      <t>(7), 2150–2162. https://doi.org/10.1016/j.gca.2009.01.025</t>
    </r>
    <r>
      <rPr>
        <sz val="12"/>
        <color theme="1"/>
        <rFont val="Calibri"/>
        <family val="2"/>
        <scheme val="minor"/>
      </rPr>
      <t/>
    </r>
  </si>
  <si>
    <t>2-Hexanone</t>
  </si>
  <si>
    <r>
      <t xml:space="preserve">Pizzarello, S., &amp; Holmes, W. (2009). Nitrogen-containing compounds in two CR2 meteorites: 15N composition, molecular distribution and precursor molecules. </t>
    </r>
    <r>
      <rPr>
        <i/>
        <sz val="12"/>
        <color theme="1"/>
        <rFont val="Calibri"/>
        <family val="2"/>
      </rPr>
      <t>Geochimica et Cosmochimica Acta</t>
    </r>
    <r>
      <rPr>
        <sz val="12"/>
        <color theme="1"/>
        <rFont val="Calibri"/>
        <family val="2"/>
      </rPr>
      <t xml:space="preserve">, </t>
    </r>
    <r>
      <rPr>
        <i/>
        <sz val="12"/>
        <color theme="1"/>
        <rFont val="Calibri"/>
        <family val="2"/>
      </rPr>
      <t>73</t>
    </r>
    <r>
      <rPr>
        <sz val="12"/>
        <color theme="1"/>
        <rFont val="Calibri"/>
        <family val="2"/>
      </rPr>
      <t>(7), 2150–2162. https://doi.org/10.1016/j.gca.2009.01.036</t>
    </r>
    <r>
      <rPr>
        <sz val="12"/>
        <color theme="1"/>
        <rFont val="Calibri"/>
        <family val="2"/>
        <scheme val="minor"/>
      </rPr>
      <t/>
    </r>
  </si>
  <si>
    <t>Acetone</t>
  </si>
  <si>
    <r>
      <t xml:space="preserve">Pizzarello, S., &amp; Holmes, W. (2009). Nitrogen-containing compounds in two CR2 meteorites: 15N composition, molecular distribution and precursor molecules. </t>
    </r>
    <r>
      <rPr>
        <i/>
        <sz val="12"/>
        <color theme="1"/>
        <rFont val="Calibri"/>
        <family val="2"/>
      </rPr>
      <t>Geochimica et Cosmochimica Acta</t>
    </r>
    <r>
      <rPr>
        <sz val="12"/>
        <color theme="1"/>
        <rFont val="Calibri"/>
        <family val="2"/>
      </rPr>
      <t xml:space="preserve">, </t>
    </r>
    <r>
      <rPr>
        <i/>
        <sz val="12"/>
        <color theme="1"/>
        <rFont val="Calibri"/>
        <family val="2"/>
      </rPr>
      <t>73</t>
    </r>
    <r>
      <rPr>
        <sz val="12"/>
        <color theme="1"/>
        <rFont val="Calibri"/>
        <family val="2"/>
      </rPr>
      <t>(7), 2150–2162. https://doi.org/10.1016/j.gca.2009.01.031</t>
    </r>
    <r>
      <rPr>
        <sz val="12"/>
        <color theme="1"/>
        <rFont val="Calibri"/>
        <family val="2"/>
        <scheme val="minor"/>
      </rPr>
      <t/>
    </r>
  </si>
  <si>
    <t>Cyclohexanone</t>
  </si>
  <si>
    <r>
      <t xml:space="preserve">Pizzarello, S., &amp; Holmes, W. (2009). Nitrogen-containing compounds in two CR2 meteorites: 15N composition, molecular distribution and precursor molecules. </t>
    </r>
    <r>
      <rPr>
        <i/>
        <sz val="12"/>
        <color theme="1"/>
        <rFont val="Calibri"/>
        <family val="2"/>
      </rPr>
      <t>Geochimica et Cosmochimica Acta</t>
    </r>
    <r>
      <rPr>
        <sz val="12"/>
        <color theme="1"/>
        <rFont val="Calibri"/>
        <family val="2"/>
      </rPr>
      <t xml:space="preserve">, </t>
    </r>
    <r>
      <rPr>
        <i/>
        <sz val="12"/>
        <color theme="1"/>
        <rFont val="Calibri"/>
        <family val="2"/>
      </rPr>
      <t>73</t>
    </r>
    <r>
      <rPr>
        <sz val="12"/>
        <color theme="1"/>
        <rFont val="Calibri"/>
        <family val="2"/>
      </rPr>
      <t>(7), 2150–2162. https://doi.org/10.1016/j.gca.2009.01.039</t>
    </r>
    <r>
      <rPr>
        <sz val="12"/>
        <color theme="1"/>
        <rFont val="Calibri"/>
        <family val="2"/>
        <scheme val="minor"/>
      </rPr>
      <t/>
    </r>
  </si>
  <si>
    <t>3-Methyl-2-pentanone</t>
  </si>
  <si>
    <r>
      <t xml:space="preserve">Pizzarello, S., &amp; Holmes, W. (2009). Nitrogen-containing compounds in two CR2 meteorites: 15N composition, molecular distribution and precursor molecules. </t>
    </r>
    <r>
      <rPr>
        <i/>
        <sz val="12"/>
        <color theme="1"/>
        <rFont val="Calibri"/>
        <family val="2"/>
      </rPr>
      <t>Geochimica et Cosmochimica Acta</t>
    </r>
    <r>
      <rPr>
        <sz val="12"/>
        <color theme="1"/>
        <rFont val="Calibri"/>
        <family val="2"/>
      </rPr>
      <t xml:space="preserve">, </t>
    </r>
    <r>
      <rPr>
        <i/>
        <sz val="12"/>
        <color theme="1"/>
        <rFont val="Calibri"/>
        <family val="2"/>
      </rPr>
      <t>73</t>
    </r>
    <r>
      <rPr>
        <sz val="12"/>
        <color theme="1"/>
        <rFont val="Calibri"/>
        <family val="2"/>
      </rPr>
      <t>(7), 2150–2162. https://doi.org/10.1016/j.gca.2009.01.038</t>
    </r>
    <r>
      <rPr>
        <sz val="12"/>
        <color theme="1"/>
        <rFont val="Calibri"/>
        <family val="2"/>
        <scheme val="minor"/>
      </rPr>
      <t/>
    </r>
  </si>
  <si>
    <t>Polyols</t>
  </si>
  <si>
    <t>2-methylglyceric acid</t>
  </si>
  <si>
    <r>
      <t xml:space="preserve">Cooper, G., Kimmich, N., Belisle, W., Sariana, J., Brabham, K., &amp; Garrel, L. (2001). Carbonaceous meteorites as a source of sugar-related organic compounds for the early Earth. </t>
    </r>
    <r>
      <rPr>
        <i/>
        <sz val="12"/>
        <color theme="1"/>
        <rFont val="Arial"/>
        <family val="2"/>
      </rPr>
      <t>Nature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414</t>
    </r>
    <r>
      <rPr>
        <sz val="12"/>
        <color theme="1"/>
        <rFont val="Arial"/>
        <family val="2"/>
      </rPr>
      <t>(6866), 879. Retrieved from http://10.0.4.14/414879a</t>
    </r>
  </si>
  <si>
    <t>glyceric acid</t>
  </si>
  <si>
    <t>glycerol</t>
  </si>
  <si>
    <t>ethylene glycol</t>
  </si>
  <si>
    <t>guanine</t>
  </si>
  <si>
    <t>Stocks, P. G. &amp; Schwartz, A. W. Nitrogen-heterocyclic compounds in meteorites: significance and mechanisms of formation. Geochim. Cosmochim. Acta 45, 563–569 (1981).</t>
  </si>
  <si>
    <t>Purines</t>
  </si>
  <si>
    <t>adenine</t>
  </si>
  <si>
    <t>xanthine</t>
  </si>
  <si>
    <t>Nicotinic acid</t>
  </si>
  <si>
    <r>
      <t xml:space="preserve">YAMASHITA, Y., &amp; NARAOKA, H. (2014). Two homologous series of alkylpyridines in the Murchison meteorite. </t>
    </r>
    <r>
      <rPr>
        <i/>
        <sz val="12"/>
        <color theme="1"/>
        <rFont val="Arial"/>
        <family val="2"/>
      </rPr>
      <t>GEOCHEMICAL JOURNAL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48</t>
    </r>
    <r>
      <rPr>
        <sz val="12"/>
        <color theme="1"/>
        <rFont val="Arial"/>
        <family val="2"/>
      </rPr>
      <t>(6), 519–525. https://doi.org/10.2343/geochemj.2.0340</t>
    </r>
  </si>
  <si>
    <t>methyl nicotinic acid</t>
  </si>
  <si>
    <r>
      <t xml:space="preserve">YAMASHITA, Y., &amp; NARAOKA, H. (2014). Two homologous series of alkylpyridines in the Murchison meteorite. </t>
    </r>
    <r>
      <rPr>
        <i/>
        <sz val="12"/>
        <color theme="1"/>
        <rFont val="Arial"/>
        <family val="2"/>
      </rPr>
      <t>GEOCHEMICAL JOURNAL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48</t>
    </r>
    <r>
      <rPr>
        <sz val="12"/>
        <color theme="1"/>
        <rFont val="Arial"/>
        <family val="2"/>
      </rPr>
      <t>(6), 519–525. https://doi.org/10.2343/geochemj.2.0341</t>
    </r>
    <r>
      <rPr>
        <sz val="12"/>
        <color theme="1"/>
        <rFont val="Calibri"/>
        <family val="2"/>
        <scheme val="minor"/>
      </rPr>
      <t/>
    </r>
  </si>
  <si>
    <t>Sulfonic acids</t>
  </si>
  <si>
    <t>npropyl sulfonic acid (1-propanesulfonic acid)</t>
  </si>
  <si>
    <t>isopropyl sulfonic acid (isopropyl methanesulfonate)</t>
  </si>
  <si>
    <t>ethylsulfonic acid (ethanesulfonic acid)</t>
  </si>
  <si>
    <t>methylsulfonic acid (methanesulfonic acid)</t>
  </si>
  <si>
    <t>Urea</t>
  </si>
  <si>
    <r>
      <t xml:space="preserve">Sephton, M. A. Organic compounds in carbonaceous meteorites. </t>
    </r>
    <r>
      <rPr>
        <i/>
        <sz val="12"/>
        <color theme="1"/>
        <rFont val="Arial"/>
        <family val="2"/>
      </rPr>
      <t>Nat. Prod. Rep.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, 292–311 (2002).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</si>
</sst>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name val="Arial"/>
      <family val="2"/>
    </font>
    <font>
      <sz val="12"/>
      <color rgb="FF000000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rgb="FF000000"/>
      <name val="Arial"/>
      <family val="2"/>
    </font>
    <font>
      <sz val="8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29">
    <xf numFmtId="0" fontId="0" fillId="0" borderId="0" xfId="0"/>
    <xf numFmtId="0" fontId="8" fillId="0" borderId="0" xfId="0" applyFont="1"/>
    <xf numFmtId="0" fontId="6" fillId="0" borderId="0" xfId="0" applyFont="1"/>
    <xf numFmtId="2" fontId="0" fillId="0" borderId="0" xfId="0" applyNumberFormat="1"/>
    <xf numFmtId="0" fontId="0" fillId="0" borderId="0" xfId="0" quotePrefix="1"/>
    <xf numFmtId="0" fontId="8" fillId="0" borderId="0" xfId="0" applyFont="1" applyAlignment="1">
      <alignment horizontal="left" vertical="center"/>
    </xf>
    <xf numFmtId="164" fontId="0" fillId="0" borderId="0" xfId="0" applyNumberFormat="1"/>
    <xf numFmtId="164" fontId="8" fillId="0" borderId="0" xfId="0" applyNumberFormat="1" applyFont="1"/>
    <xf numFmtId="164" fontId="8" fillId="0" borderId="0" xfId="0" applyNumberFormat="1" applyFont="1" applyAlignment="1">
      <alignment horizontal="left" vertical="center" wrapText="1"/>
    </xf>
    <xf numFmtId="164" fontId="8" fillId="0" borderId="0" xfId="1" applyNumberFormat="1" applyFont="1" applyFill="1" applyAlignment="1">
      <alignment horizontal="left" vertical="center" wrapText="1"/>
    </xf>
    <xf numFmtId="164" fontId="8" fillId="0" borderId="0" xfId="0" applyNumberFormat="1" applyFont="1" applyAlignment="1">
      <alignment vertical="center" wrapText="1"/>
    </xf>
    <xf numFmtId="164" fontId="8" fillId="0" borderId="0" xfId="0" quotePrefix="1" applyNumberFormat="1" applyFont="1"/>
    <xf numFmtId="164" fontId="2" fillId="0" borderId="1" xfId="0" applyNumberFormat="1" applyFont="1" applyBorder="1"/>
    <xf numFmtId="164" fontId="8" fillId="0" borderId="1" xfId="0" applyNumberFormat="1" applyFont="1" applyBorder="1"/>
    <xf numFmtId="164" fontId="2" fillId="0" borderId="0" xfId="0" applyNumberFormat="1" applyFont="1"/>
    <xf numFmtId="164" fontId="6" fillId="0" borderId="0" xfId="0" applyNumberFormat="1" applyFont="1"/>
    <xf numFmtId="164" fontId="8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5" fillId="0" borderId="0" xfId="0" applyNumberFormat="1" applyFont="1"/>
    <xf numFmtId="164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/>
    <xf numFmtId="164" fontId="8" fillId="0" borderId="0" xfId="0" applyNumberFormat="1" applyFont="1" applyAlignment="1">
      <alignment vertical="top"/>
    </xf>
    <xf numFmtId="164" fontId="8" fillId="0" borderId="0" xfId="0" quotePrefix="1" applyNumberFormat="1" applyFont="1" applyAlignment="1">
      <alignment vertical="top"/>
    </xf>
    <xf numFmtId="164" fontId="8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34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000"/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alignment horizontal="left" vertical="center" textRotation="0" wrapText="1" indent="0" justifyLastLine="0" shrinkToFit="0" readingOrder="0"/>
    </dxf>
    <dxf>
      <numFmt numFmtId="164" formatCode="0.0000"/>
      <fill>
        <patternFill patternType="none">
          <fgColor indexed="64"/>
          <bgColor indexed="65"/>
        </patternFill>
      </fill>
    </dxf>
    <dxf>
      <numFmt numFmtId="164" formatCode="0.0000"/>
      <fill>
        <patternFill patternType="none">
          <fgColor indexed="64"/>
          <bgColor indexed="65"/>
        </patternFill>
      </fill>
    </dxf>
    <dxf>
      <numFmt numFmtId="164" formatCode="0.0000"/>
    </dxf>
    <dxf>
      <numFmt numFmtId="164" formatCode="0.0000"/>
      <fill>
        <patternFill patternType="none">
          <fgColor indexed="64"/>
          <bgColor indexed="65"/>
        </patternFill>
      </fill>
    </dxf>
    <dxf>
      <numFmt numFmtId="164" formatCode="0.0000"/>
      <fill>
        <patternFill patternType="none">
          <fgColor indexed="64"/>
          <bgColor indexed="65"/>
        </patternFill>
      </fill>
    </dxf>
    <dxf>
      <numFmt numFmtId="164" formatCode="0.0000"/>
      <fill>
        <patternFill patternType="none">
          <fgColor indexed="64"/>
          <bgColor indexed="65"/>
        </patternFill>
      </fill>
    </dxf>
    <dxf>
      <numFmt numFmtId="164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000"/>
      <fill>
        <patternFill patternType="none">
          <fgColor indexed="64"/>
          <bgColor indexed="65"/>
        </patternFill>
      </fill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164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A0D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BA1101-77C1-4ED0-B8E4-53508F46CDB5}" name="Table3" displayName="Table3" ref="A1:P119" totalsRowCount="1" headerRowDxfId="33" dataDxfId="32">
  <autoFilter ref="A1:P118" xr:uid="{11BA1101-77C1-4ED0-B8E4-53508F46CDB5}"/>
  <tableColumns count="16">
    <tableColumn id="1" xr3:uid="{3DE945A9-C0B3-4856-9C9D-9D4785ACA974}" name="compound class" dataDxfId="31" totalsRowDxfId="15"/>
    <tableColumn id="2" xr3:uid="{752FECBD-8469-47BD-82E8-B89D60915906}" name="Column1" dataDxfId="30" totalsRowDxfId="14" dataCellStyle="Comma" totalsRowCellStyle="Comma"/>
    <tableColumn id="3" xr3:uid="{3318E351-A7FF-474C-B23F-83DE6439912C}" name="percent by weight of each compound class " dataDxfId="29" totalsRowDxfId="13"/>
    <tableColumn id="4" xr3:uid="{3DC6E663-5B96-4274-AB31-AA7AFE29CB22}" name="Include in soup?" dataDxfId="28" totalsRowDxfId="12"/>
    <tableColumn id="5" xr3:uid="{E78FA01A-A9DC-41BF-8E50-3A9476B79D51}" name="include numerical" dataDxfId="27" totalsRowDxfId="11"/>
    <tableColumn id="6" xr3:uid="{563D4734-8107-4CED-AC7E-3EFBDC212B39}" name="compound" dataDxfId="26" totalsRowDxfId="10"/>
    <tableColumn id="7" xr3:uid="{166C9624-3C60-4CEF-8235-6F49BC14E724}" name="citation" dataDxfId="25" totalsRowDxfId="9"/>
    <tableColumn id="8" xr3:uid="{84DA4332-793A-4003-844A-A72E8D58BC42}" name="nmol/g of meteorite" dataDxfId="24" totalsRowDxfId="8"/>
    <tableColumn id="9" xr3:uid="{1FAA0411-9131-45C2-A1FF-0295EA801E93}" name="mw" dataDxfId="23" totalsRowDxfId="7"/>
    <tableColumn id="10" xr3:uid="{80CC79CC-D0D9-424A-B498-39B128F27DE0}" name="ng compound/g meteorite" dataDxfId="22" totalsRowDxfId="6"/>
    <tableColumn id="11" xr3:uid="{658BDEDF-C555-4D06-992B-8B2E98A9D7F2}" name="ng each compound class" dataDxfId="21" totalsRowDxfId="5"/>
    <tableColumn id="12" xr3:uid="{8F55C285-BF39-4578-A2B7-2EA9E61FBBB5}" name="grams for 100 g of soup" dataDxfId="20" totalsRowDxfId="4"/>
    <tableColumn id="13" xr3:uid="{7B925CCE-EEAD-4DC6-9302-D5B5E25B736D}" name="comments" dataDxfId="19" totalsRowDxfId="3"/>
    <tableColumn id="15" xr3:uid="{45041B01-9E40-4943-AAF5-FABADBCE8AAF}" name="Density" dataDxfId="18" totalsRowDxfId="2"/>
    <tableColumn id="14" xr3:uid="{4CA4F236-CFC8-45CD-8B7B-FAC5973C7DF2}" name="measured" totalsRowFunction="custom" dataDxfId="17" totalsRowDxfId="1">
      <totalsRowFormula>SUM(O3:O118)</totalsRowFormula>
    </tableColumn>
    <tableColumn id="19" xr3:uid="{F2F45A1C-7BA3-4E23-80F8-80FE3BD2AF30}" name="Column2" dataDxfId="16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90D9-3BF3-044A-A03E-A0AC2D95707B}">
  <dimension ref="A1:D26"/>
  <sheetViews>
    <sheetView workbookViewId="0">
      <selection activeCell="A10" sqref="A10"/>
    </sheetView>
  </sheetViews>
  <sheetFormatPr defaultColWidth="11.54296875" defaultRowHeight="15" x14ac:dyDescent="0.25"/>
  <cols>
    <col min="1" max="1" width="32.453125" customWidth="1"/>
  </cols>
  <sheetData>
    <row r="1" spans="1:3" ht="15.6" x14ac:dyDescent="0.3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/>
    </row>
    <row r="4" spans="1:3" x14ac:dyDescent="0.25">
      <c r="A4" s="1"/>
      <c r="B4" s="1"/>
    </row>
    <row r="5" spans="1:3" x14ac:dyDescent="0.25">
      <c r="A5" s="1" t="s">
        <v>3</v>
      </c>
      <c r="B5" t="s">
        <v>4</v>
      </c>
      <c r="C5" s="1" t="s">
        <v>5</v>
      </c>
    </row>
    <row r="6" spans="1:3" x14ac:dyDescent="0.25">
      <c r="A6" s="5" t="s">
        <v>6</v>
      </c>
      <c r="C6" s="3">
        <f>SUM(C7:C8)</f>
        <v>6.1201591241372277</v>
      </c>
    </row>
    <row r="7" spans="1:3" x14ac:dyDescent="0.25">
      <c r="A7" s="1" t="s">
        <v>7</v>
      </c>
      <c r="B7">
        <v>23.5</v>
      </c>
      <c r="C7" s="3">
        <v>3.1960830981605524</v>
      </c>
    </row>
    <row r="8" spans="1:3" x14ac:dyDescent="0.25">
      <c r="A8" s="1" t="s">
        <v>8</v>
      </c>
      <c r="B8">
        <v>21.5</v>
      </c>
      <c r="C8" s="3">
        <v>2.9240760259766754</v>
      </c>
    </row>
    <row r="9" spans="1:3" x14ac:dyDescent="0.25">
      <c r="A9" s="1" t="s">
        <v>9</v>
      </c>
      <c r="B9">
        <v>38</v>
      </c>
      <c r="C9" s="3">
        <v>5.1681343714936583</v>
      </c>
    </row>
    <row r="10" spans="1:3" x14ac:dyDescent="0.25">
      <c r="A10" s="1" t="s">
        <v>10</v>
      </c>
      <c r="B10">
        <v>332</v>
      </c>
      <c r="C10" s="3">
        <v>45.153173982523548</v>
      </c>
    </row>
    <row r="11" spans="1:3" x14ac:dyDescent="0.25">
      <c r="A11" s="1" t="s">
        <v>11</v>
      </c>
      <c r="B11">
        <v>25.7</v>
      </c>
      <c r="C11" s="3">
        <v>3.4952908775628164</v>
      </c>
    </row>
    <row r="12" spans="1:3" x14ac:dyDescent="0.25">
      <c r="A12" s="1" t="s">
        <v>12</v>
      </c>
      <c r="B12">
        <v>60</v>
      </c>
      <c r="C12" s="3">
        <v>8.1602121655163042</v>
      </c>
    </row>
    <row r="13" spans="1:3" x14ac:dyDescent="0.25">
      <c r="A13" s="1" t="s">
        <v>13</v>
      </c>
      <c r="B13">
        <v>14.6</v>
      </c>
      <c r="C13" s="3">
        <v>1.9856516269423006</v>
      </c>
    </row>
    <row r="14" spans="1:3" x14ac:dyDescent="0.25">
      <c r="A14" s="1" t="s">
        <v>14</v>
      </c>
      <c r="B14">
        <v>50</v>
      </c>
      <c r="C14" s="3">
        <v>6.8001768045969193</v>
      </c>
    </row>
    <row r="15" spans="1:3" x14ac:dyDescent="0.25">
      <c r="A15" s="1" t="s">
        <v>15</v>
      </c>
      <c r="B15">
        <v>7</v>
      </c>
      <c r="C15" s="3">
        <v>0.95202475264356878</v>
      </c>
    </row>
    <row r="16" spans="1:3" x14ac:dyDescent="0.25">
      <c r="A16" s="1" t="s">
        <v>16</v>
      </c>
      <c r="B16">
        <v>67</v>
      </c>
      <c r="C16" s="3">
        <v>9.1122369181598728</v>
      </c>
    </row>
    <row r="17" spans="1:4" x14ac:dyDescent="0.25">
      <c r="A17" s="1" t="s">
        <v>17</v>
      </c>
      <c r="B17">
        <v>1.5</v>
      </c>
      <c r="C17" s="3">
        <v>0.2040053041379076</v>
      </c>
    </row>
    <row r="18" spans="1:4" x14ac:dyDescent="0.25">
      <c r="A18" s="1" t="s">
        <v>18</v>
      </c>
      <c r="B18">
        <v>0.27500000000000002</v>
      </c>
      <c r="C18" s="3">
        <v>3.7400972425283063E-2</v>
      </c>
    </row>
    <row r="19" spans="1:4" x14ac:dyDescent="0.25">
      <c r="A19" s="1" t="s">
        <v>19</v>
      </c>
      <c r="B19">
        <v>8</v>
      </c>
      <c r="C19" s="3">
        <v>1.0880282887355071</v>
      </c>
    </row>
    <row r="20" spans="1:4" x14ac:dyDescent="0.25">
      <c r="A20" s="1" t="s">
        <v>20</v>
      </c>
      <c r="B20" t="s">
        <v>21</v>
      </c>
      <c r="C20" s="3"/>
    </row>
    <row r="21" spans="1:4" x14ac:dyDescent="0.25">
      <c r="A21" s="1" t="s">
        <v>22</v>
      </c>
      <c r="B21">
        <v>60</v>
      </c>
      <c r="C21" s="3">
        <v>8.1602121655163042</v>
      </c>
    </row>
    <row r="22" spans="1:4" x14ac:dyDescent="0.25">
      <c r="A22" s="1" t="s">
        <v>23</v>
      </c>
      <c r="B22">
        <v>1.2</v>
      </c>
      <c r="C22" s="3">
        <v>0.16320424331032607</v>
      </c>
    </row>
    <row r="23" spans="1:4" x14ac:dyDescent="0.25">
      <c r="A23" s="1" t="s">
        <v>24</v>
      </c>
      <c r="B23">
        <v>25</v>
      </c>
      <c r="C23" s="3">
        <v>3.4000884022984597</v>
      </c>
    </row>
    <row r="24" spans="1:4" x14ac:dyDescent="0.25">
      <c r="B24">
        <v>735.27499999999998</v>
      </c>
      <c r="C24" s="3">
        <v>100.00000000000001</v>
      </c>
    </row>
    <row r="25" spans="1:4" x14ac:dyDescent="0.25">
      <c r="D25" s="2"/>
    </row>
    <row r="26" spans="1:4" x14ac:dyDescent="0.25">
      <c r="A2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8F53-83DF-5E4E-8D22-BF49EEEDBDCA}">
  <dimension ref="A1:P119"/>
  <sheetViews>
    <sheetView tabSelected="1" zoomScale="55" zoomScaleNormal="55" workbookViewId="0">
      <selection activeCell="R10" sqref="R10"/>
    </sheetView>
  </sheetViews>
  <sheetFormatPr defaultColWidth="11.54296875" defaultRowHeight="15" x14ac:dyDescent="0.25"/>
  <cols>
    <col min="1" max="1" width="21.08984375" style="1" bestFit="1" customWidth="1"/>
    <col min="2" max="2" width="6.1796875" style="1" hidden="1" customWidth="1"/>
    <col min="3" max="3" width="34.6328125" style="1" hidden="1" customWidth="1"/>
    <col min="4" max="4" width="13.453125" style="1" hidden="1" customWidth="1"/>
    <col min="5" max="5" width="14.36328125" style="1" hidden="1" customWidth="1"/>
    <col min="6" max="6" width="27.08984375" bestFit="1" customWidth="1"/>
    <col min="7" max="7" width="10.6328125" hidden="1" customWidth="1"/>
    <col min="8" max="8" width="15.81640625" hidden="1" customWidth="1"/>
    <col min="9" max="9" width="8.453125" bestFit="1" customWidth="1"/>
    <col min="10" max="10" width="20.90625" hidden="1" customWidth="1"/>
    <col min="11" max="11" width="20.36328125" style="6" hidden="1" customWidth="1"/>
    <col min="12" max="12" width="13.08984375" customWidth="1"/>
    <col min="13" max="13" width="10.6328125" hidden="1" customWidth="1"/>
    <col min="14" max="14" width="10.6328125" customWidth="1"/>
    <col min="15" max="15" width="12.453125" bestFit="1" customWidth="1"/>
    <col min="16" max="16" width="22.08984375" hidden="1" customWidth="1"/>
  </cols>
  <sheetData>
    <row r="1" spans="1:16" x14ac:dyDescent="0.25">
      <c r="A1" s="7" t="s">
        <v>3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6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39</v>
      </c>
    </row>
    <row r="2" spans="1:16" ht="41.1" customHeight="1" x14ac:dyDescent="0.3">
      <c r="A2" s="8" t="s">
        <v>6</v>
      </c>
      <c r="B2" s="9">
        <f>VLOOKUP(A2, 'Compound Classes'!$A$6:$C$23, 3, FALSE)</f>
        <v>6.1201591241372277</v>
      </c>
      <c r="C2" s="10">
        <v>6.12</v>
      </c>
      <c r="D2" s="8" t="s">
        <v>40</v>
      </c>
      <c r="E2" s="8">
        <f t="shared" ref="E2:E33" si="0">IF(D2="yes",1,0)</f>
        <v>1</v>
      </c>
      <c r="F2" s="7" t="s">
        <v>41</v>
      </c>
      <c r="G2" s="7" t="s">
        <v>42</v>
      </c>
      <c r="H2" s="7" t="s">
        <v>43</v>
      </c>
      <c r="I2" s="11" t="s">
        <v>44</v>
      </c>
      <c r="J2" s="11"/>
      <c r="L2" s="6">
        <v>6.12</v>
      </c>
      <c r="M2" s="7" t="s">
        <v>45</v>
      </c>
      <c r="N2" s="7"/>
      <c r="O2" s="6"/>
      <c r="P2" s="6"/>
    </row>
    <row r="3" spans="1:16" ht="15.75" customHeight="1" x14ac:dyDescent="0.3">
      <c r="A3" s="8" t="s">
        <v>46</v>
      </c>
      <c r="B3" s="9">
        <f>VLOOKUP(A3, 'Compound Classes'!$A$6:$C$23, 3, FALSE)</f>
        <v>1.0880282887355071</v>
      </c>
      <c r="C3" s="10">
        <v>1.05</v>
      </c>
      <c r="D3" s="8" t="s">
        <v>40</v>
      </c>
      <c r="E3" s="8">
        <f t="shared" si="0"/>
        <v>1</v>
      </c>
      <c r="F3" s="12" t="s">
        <v>47</v>
      </c>
      <c r="G3" s="13" t="s">
        <v>48</v>
      </c>
      <c r="H3" s="14">
        <v>71</v>
      </c>
      <c r="I3" s="15">
        <v>31.06</v>
      </c>
      <c r="J3" s="15">
        <f t="shared" ref="J3:J34" si="1">H3*I3</f>
        <v>2205.2599999999998</v>
      </c>
      <c r="K3" s="6">
        <f>SUMIF(D3:D4,"=yes",J3:J4)</f>
        <v>3016.7</v>
      </c>
      <c r="L3" s="6">
        <f t="shared" ref="L3:L36" si="2">J3*E3/K3*C3</f>
        <v>0.76756820366625789</v>
      </c>
      <c r="M3" s="6"/>
      <c r="N3" s="6">
        <v>0.89700000000000002</v>
      </c>
      <c r="O3" s="6">
        <v>0.76229999999999998</v>
      </c>
      <c r="P3" t="s">
        <v>49</v>
      </c>
    </row>
    <row r="4" spans="1:16" ht="15.75" customHeight="1" x14ac:dyDescent="0.3">
      <c r="A4" s="8" t="s">
        <v>46</v>
      </c>
      <c r="B4" s="9">
        <f>VLOOKUP(A4, 'Compound Classes'!$A$6:$C$23, 3, FALSE)</f>
        <v>1.0880282887355071</v>
      </c>
      <c r="C4" s="10">
        <v>1.05</v>
      </c>
      <c r="D4" s="8" t="s">
        <v>40</v>
      </c>
      <c r="E4" s="8">
        <f t="shared" si="0"/>
        <v>1</v>
      </c>
      <c r="F4" s="12" t="s">
        <v>50</v>
      </c>
      <c r="G4" s="13" t="s">
        <v>51</v>
      </c>
      <c r="H4" s="14">
        <v>18</v>
      </c>
      <c r="I4" s="15">
        <v>45.08</v>
      </c>
      <c r="J4" s="15">
        <f t="shared" si="1"/>
        <v>811.43999999999994</v>
      </c>
      <c r="K4" s="6">
        <f t="shared" ref="K4:K35" si="3">SUMIFS(J$2:J$116,A$2:A$116,A4,D$2:D$116,"=yes")</f>
        <v>3016.7</v>
      </c>
      <c r="L4" s="6">
        <f t="shared" si="2"/>
        <v>0.28243179633374216</v>
      </c>
      <c r="M4" s="6"/>
      <c r="N4" s="6"/>
      <c r="O4" s="7">
        <v>0.28000000000000003</v>
      </c>
      <c r="P4" t="s">
        <v>52</v>
      </c>
    </row>
    <row r="5" spans="1:16" ht="15.75" customHeight="1" x14ac:dyDescent="0.3">
      <c r="A5" s="8" t="s">
        <v>53</v>
      </c>
      <c r="B5" s="9">
        <f>VLOOKUP(A5, 'Compound Classes'!$A$6:$C$23, 3, FALSE)</f>
        <v>8.1602121655163042</v>
      </c>
      <c r="C5" s="10">
        <v>7.89</v>
      </c>
      <c r="D5" s="8" t="s">
        <v>40</v>
      </c>
      <c r="E5" s="8">
        <f t="shared" si="0"/>
        <v>1</v>
      </c>
      <c r="F5" s="16" t="s">
        <v>54</v>
      </c>
      <c r="G5" s="7" t="s">
        <v>55</v>
      </c>
      <c r="H5" s="16">
        <v>10</v>
      </c>
      <c r="I5" s="17">
        <v>117.15</v>
      </c>
      <c r="J5" s="15">
        <f t="shared" si="1"/>
        <v>1171.5</v>
      </c>
      <c r="K5" s="6">
        <f t="shared" si="3"/>
        <v>39554.990000000005</v>
      </c>
      <c r="L5" s="6">
        <f t="shared" si="2"/>
        <v>0.23367810230769867</v>
      </c>
      <c r="M5" s="6"/>
      <c r="N5" s="6"/>
      <c r="O5" s="6">
        <v>0.2324</v>
      </c>
      <c r="P5" s="6"/>
    </row>
    <row r="6" spans="1:16" ht="15.75" customHeight="1" x14ac:dyDescent="0.3">
      <c r="A6" s="8" t="s">
        <v>53</v>
      </c>
      <c r="B6" s="9">
        <f>VLOOKUP(A6, 'Compound Classes'!$A$6:$C$23, 3, FALSE)</f>
        <v>8.1602121655163042</v>
      </c>
      <c r="C6" s="10">
        <v>7.89</v>
      </c>
      <c r="D6" s="8" t="s">
        <v>40</v>
      </c>
      <c r="E6" s="8">
        <f t="shared" si="0"/>
        <v>1</v>
      </c>
      <c r="F6" s="16" t="s">
        <v>56</v>
      </c>
      <c r="G6" s="7" t="s">
        <v>57</v>
      </c>
      <c r="H6" s="16">
        <v>14</v>
      </c>
      <c r="I6" s="17">
        <v>89.09</v>
      </c>
      <c r="J6" s="15">
        <f t="shared" si="1"/>
        <v>1247.26</v>
      </c>
      <c r="K6" s="6">
        <f t="shared" si="3"/>
        <v>39554.990000000005</v>
      </c>
      <c r="L6" s="6">
        <f t="shared" si="2"/>
        <v>0.24878988466436217</v>
      </c>
      <c r="M6" s="6"/>
      <c r="N6" s="6"/>
      <c r="O6" s="6">
        <v>0.24959999999999999</v>
      </c>
      <c r="P6" s="6"/>
    </row>
    <row r="7" spans="1:16" ht="15.75" hidden="1" customHeight="1" x14ac:dyDescent="0.3">
      <c r="A7" s="8" t="s">
        <v>53</v>
      </c>
      <c r="B7" s="9">
        <f>VLOOKUP(A7, 'Compound Classes'!$A$6:$C$23, 3, FALSE)</f>
        <v>8.1602121655163042</v>
      </c>
      <c r="C7" s="10">
        <v>7.89</v>
      </c>
      <c r="D7" s="8" t="s">
        <v>40</v>
      </c>
      <c r="E7" s="8">
        <f t="shared" si="0"/>
        <v>1</v>
      </c>
      <c r="F7" s="16" t="s">
        <v>58</v>
      </c>
      <c r="G7" s="7" t="s">
        <v>59</v>
      </c>
      <c r="H7" s="16">
        <v>19</v>
      </c>
      <c r="I7" s="17">
        <v>89.09</v>
      </c>
      <c r="J7" s="15">
        <f t="shared" si="1"/>
        <v>1692.71</v>
      </c>
      <c r="K7" s="6">
        <f t="shared" si="3"/>
        <v>39554.990000000005</v>
      </c>
      <c r="L7" s="6">
        <f t="shared" si="2"/>
        <v>0.33764341490163435</v>
      </c>
      <c r="M7" s="6"/>
      <c r="N7" s="6"/>
      <c r="O7" s="6"/>
      <c r="P7" s="6">
        <v>444</v>
      </c>
    </row>
    <row r="8" spans="1:16" ht="15.75" customHeight="1" x14ac:dyDescent="0.3">
      <c r="A8" s="8" t="s">
        <v>53</v>
      </c>
      <c r="B8" s="9">
        <f>VLOOKUP(A8, 'Compound Classes'!$A$6:$C$23, 3, FALSE)</f>
        <v>8.1602121655163042</v>
      </c>
      <c r="C8" s="10">
        <v>7.89</v>
      </c>
      <c r="D8" s="8" t="s">
        <v>40</v>
      </c>
      <c r="E8" s="8">
        <f t="shared" si="0"/>
        <v>1</v>
      </c>
      <c r="F8" s="16" t="s">
        <v>60</v>
      </c>
      <c r="G8" s="7" t="s">
        <v>61</v>
      </c>
      <c r="H8" s="16">
        <v>16</v>
      </c>
      <c r="I8" s="17">
        <v>115.13</v>
      </c>
      <c r="J8" s="15">
        <f t="shared" si="1"/>
        <v>1842.08</v>
      </c>
      <c r="K8" s="6">
        <f t="shared" si="3"/>
        <v>39554.990000000005</v>
      </c>
      <c r="L8" s="6">
        <f t="shared" si="2"/>
        <v>0.36743812095515627</v>
      </c>
      <c r="M8" s="6"/>
      <c r="N8" s="6"/>
      <c r="O8" s="6">
        <v>0.36699999999999999</v>
      </c>
      <c r="P8" s="6"/>
    </row>
    <row r="9" spans="1:16" ht="15.75" customHeight="1" x14ac:dyDescent="0.3">
      <c r="A9" s="8" t="s">
        <v>53</v>
      </c>
      <c r="B9" s="9">
        <f>VLOOKUP(A9, 'Compound Classes'!$A$6:$C$23, 3, FALSE)</f>
        <v>8.1602121655163042</v>
      </c>
      <c r="C9" s="10">
        <v>7.89</v>
      </c>
      <c r="D9" s="8" t="s">
        <v>40</v>
      </c>
      <c r="E9" s="8">
        <f t="shared" si="0"/>
        <v>1</v>
      </c>
      <c r="F9" s="18" t="s">
        <v>62</v>
      </c>
      <c r="G9" s="7" t="s">
        <v>63</v>
      </c>
      <c r="H9" s="18">
        <v>18</v>
      </c>
      <c r="I9" s="17">
        <v>103.12</v>
      </c>
      <c r="J9" s="15">
        <f t="shared" si="1"/>
        <v>1856.16</v>
      </c>
      <c r="K9" s="6">
        <f t="shared" si="3"/>
        <v>39554.990000000005</v>
      </c>
      <c r="L9" s="6">
        <f t="shared" si="2"/>
        <v>0.37024664650401878</v>
      </c>
      <c r="M9" s="6"/>
      <c r="N9" s="6"/>
      <c r="O9" s="6">
        <v>0.37069999999999997</v>
      </c>
      <c r="P9" s="6"/>
    </row>
    <row r="10" spans="1:16" ht="15.75" customHeight="1" x14ac:dyDescent="0.3">
      <c r="A10" s="8" t="s">
        <v>53</v>
      </c>
      <c r="B10" s="9">
        <f>VLOOKUP(A10, 'Compound Classes'!$A$6:$C$23, 3, FALSE)</f>
        <v>8.1602121655163042</v>
      </c>
      <c r="C10" s="10">
        <v>7.89</v>
      </c>
      <c r="D10" s="8" t="s">
        <v>40</v>
      </c>
      <c r="E10" s="8">
        <f t="shared" si="0"/>
        <v>1</v>
      </c>
      <c r="F10" s="18" t="s">
        <v>64</v>
      </c>
      <c r="G10" s="7" t="s">
        <v>65</v>
      </c>
      <c r="H10" s="16">
        <v>24</v>
      </c>
      <c r="I10" s="17">
        <v>103.12</v>
      </c>
      <c r="J10" s="15">
        <f t="shared" si="1"/>
        <v>2474.88</v>
      </c>
      <c r="K10" s="6">
        <f t="shared" si="3"/>
        <v>39554.990000000005</v>
      </c>
      <c r="L10" s="6">
        <f t="shared" si="2"/>
        <v>0.49366219533869177</v>
      </c>
      <c r="M10" s="6"/>
      <c r="N10" s="6"/>
      <c r="O10" s="6">
        <v>0.495</v>
      </c>
      <c r="P10" s="6"/>
    </row>
    <row r="11" spans="1:16" ht="15.75" customHeight="1" x14ac:dyDescent="0.3">
      <c r="A11" s="8" t="s">
        <v>53</v>
      </c>
      <c r="B11" s="9">
        <f>VLOOKUP(A11, 'Compound Classes'!$A$6:$C$23, 3, FALSE)</f>
        <v>8.1602121655163042</v>
      </c>
      <c r="C11" s="10">
        <v>7.89</v>
      </c>
      <c r="D11" s="8" t="s">
        <v>40</v>
      </c>
      <c r="E11" s="8">
        <f t="shared" si="0"/>
        <v>1</v>
      </c>
      <c r="F11" s="16" t="s">
        <v>66</v>
      </c>
      <c r="G11" s="7" t="s">
        <v>67</v>
      </c>
      <c r="H11" s="16">
        <v>18</v>
      </c>
      <c r="I11" s="17">
        <v>147.13</v>
      </c>
      <c r="J11" s="15">
        <f t="shared" si="1"/>
        <v>2648.34</v>
      </c>
      <c r="K11" s="6">
        <f t="shared" si="3"/>
        <v>39554.990000000005</v>
      </c>
      <c r="L11" s="6">
        <f t="shared" si="2"/>
        <v>0.5282621130734706</v>
      </c>
      <c r="M11" s="6"/>
      <c r="N11" s="6"/>
      <c r="O11" s="6">
        <v>0.5272</v>
      </c>
      <c r="P11" s="6"/>
    </row>
    <row r="12" spans="1:16" ht="15.75" customHeight="1" x14ac:dyDescent="0.3">
      <c r="A12" s="8" t="s">
        <v>53</v>
      </c>
      <c r="B12" s="9">
        <f>VLOOKUP(A12, 'Compound Classes'!$A$6:$C$23, 3, FALSE)</f>
        <v>8.1602121655163042</v>
      </c>
      <c r="C12" s="10">
        <v>7.89</v>
      </c>
      <c r="D12" s="8" t="s">
        <v>40</v>
      </c>
      <c r="E12" s="8">
        <f t="shared" si="0"/>
        <v>1</v>
      </c>
      <c r="F12" s="19" t="s">
        <v>68</v>
      </c>
      <c r="G12" s="7" t="s">
        <v>69</v>
      </c>
      <c r="H12" s="16">
        <v>28</v>
      </c>
      <c r="I12" s="17">
        <v>117.15</v>
      </c>
      <c r="J12" s="15">
        <f t="shared" si="1"/>
        <v>3280.2000000000003</v>
      </c>
      <c r="K12" s="6">
        <f t="shared" si="3"/>
        <v>39554.990000000005</v>
      </c>
      <c r="L12" s="6">
        <f t="shared" si="2"/>
        <v>0.65429868646155631</v>
      </c>
      <c r="M12" s="6"/>
      <c r="N12" s="6"/>
      <c r="O12" s="6">
        <v>0.65400000000000003</v>
      </c>
      <c r="P12" s="6"/>
    </row>
    <row r="13" spans="1:16" ht="15.75" customHeight="1" x14ac:dyDescent="0.3">
      <c r="A13" s="8" t="s">
        <v>53</v>
      </c>
      <c r="B13" s="9">
        <f>VLOOKUP(A13, 'Compound Classes'!$A$6:$C$23, 3, FALSE)</f>
        <v>8.1602121655163042</v>
      </c>
      <c r="C13" s="10">
        <v>7.89</v>
      </c>
      <c r="D13" s="8" t="s">
        <v>40</v>
      </c>
      <c r="E13" s="8">
        <f t="shared" si="0"/>
        <v>1</v>
      </c>
      <c r="F13" s="16" t="s">
        <v>70</v>
      </c>
      <c r="G13" s="7" t="s">
        <v>71</v>
      </c>
      <c r="H13" s="16">
        <v>44</v>
      </c>
      <c r="I13" s="17">
        <v>89.09</v>
      </c>
      <c r="J13" s="15">
        <f t="shared" si="1"/>
        <v>3919.96</v>
      </c>
      <c r="K13" s="6">
        <f t="shared" si="3"/>
        <v>39554.990000000005</v>
      </c>
      <c r="L13" s="6">
        <f t="shared" si="2"/>
        <v>0.78191106608799532</v>
      </c>
      <c r="M13" s="6"/>
      <c r="N13" s="6"/>
      <c r="O13" s="6">
        <v>0.78210000000000002</v>
      </c>
      <c r="P13" s="6"/>
    </row>
    <row r="14" spans="1:16" ht="15.6" x14ac:dyDescent="0.3">
      <c r="A14" s="8" t="s">
        <v>53</v>
      </c>
      <c r="B14" s="9">
        <f>VLOOKUP(A14, 'Compound Classes'!$A$6:$C$23, 3, FALSE)</f>
        <v>8.1602121655163042</v>
      </c>
      <c r="C14" s="10">
        <v>7.89</v>
      </c>
      <c r="D14" s="8" t="s">
        <v>40</v>
      </c>
      <c r="E14" s="8">
        <f t="shared" si="0"/>
        <v>1</v>
      </c>
      <c r="F14" s="16" t="s">
        <v>72</v>
      </c>
      <c r="G14" s="7" t="s">
        <v>73</v>
      </c>
      <c r="H14" s="16">
        <v>98</v>
      </c>
      <c r="I14" s="7">
        <v>75.069999999999993</v>
      </c>
      <c r="J14" s="15">
        <f t="shared" si="1"/>
        <v>7356.86</v>
      </c>
      <c r="K14" s="6">
        <f t="shared" si="3"/>
        <v>39554.990000000005</v>
      </c>
      <c r="L14" s="6">
        <f t="shared" si="2"/>
        <v>1.4674665674292924</v>
      </c>
      <c r="M14" s="6"/>
      <c r="N14" s="6"/>
      <c r="O14" s="6">
        <v>1.4690000000000001</v>
      </c>
      <c r="P14" s="6"/>
    </row>
    <row r="15" spans="1:16" ht="15.75" customHeight="1" x14ac:dyDescent="0.3">
      <c r="A15" s="8" t="s">
        <v>53</v>
      </c>
      <c r="B15" s="9">
        <f>VLOOKUP(A15, 'Compound Classes'!$A$6:$C$23, 3, FALSE)</f>
        <v>8.1602121655163042</v>
      </c>
      <c r="C15" s="10">
        <v>7.89</v>
      </c>
      <c r="D15" s="8" t="s">
        <v>40</v>
      </c>
      <c r="E15" s="8">
        <f t="shared" si="0"/>
        <v>1</v>
      </c>
      <c r="F15" s="20" t="s">
        <v>74</v>
      </c>
      <c r="G15" s="7" t="s">
        <v>75</v>
      </c>
      <c r="H15" s="19">
        <v>117</v>
      </c>
      <c r="I15" s="17">
        <v>103.12</v>
      </c>
      <c r="J15" s="15">
        <f t="shared" si="1"/>
        <v>12065.04</v>
      </c>
      <c r="K15" s="6">
        <f t="shared" si="3"/>
        <v>39554.990000000005</v>
      </c>
      <c r="L15" s="6">
        <f t="shared" si="2"/>
        <v>2.4066032022761221</v>
      </c>
      <c r="M15" s="6"/>
      <c r="N15" s="6"/>
      <c r="O15" s="6">
        <v>2.4054000000000002</v>
      </c>
      <c r="P15" s="6"/>
    </row>
    <row r="16" spans="1:16" ht="15.75" hidden="1" customHeight="1" x14ac:dyDescent="0.3">
      <c r="A16" s="7" t="s">
        <v>14</v>
      </c>
      <c r="B16" s="9">
        <f>VLOOKUP(A16, 'Compound Classes'!$A$6:$C$23, 3, FALSE)</f>
        <v>6.8001768045969193</v>
      </c>
      <c r="C16" s="10">
        <v>6.58</v>
      </c>
      <c r="D16" s="8" t="s">
        <v>40</v>
      </c>
      <c r="E16" s="8">
        <f t="shared" si="0"/>
        <v>1</v>
      </c>
      <c r="F16" s="7" t="s">
        <v>76</v>
      </c>
      <c r="G16" s="7" t="s">
        <v>77</v>
      </c>
      <c r="H16" s="15">
        <v>50</v>
      </c>
      <c r="I16" s="15">
        <v>145.16</v>
      </c>
      <c r="J16" s="15">
        <f t="shared" si="1"/>
        <v>7258</v>
      </c>
      <c r="K16" s="6">
        <f t="shared" si="3"/>
        <v>43791</v>
      </c>
      <c r="L16" s="6">
        <f t="shared" si="2"/>
        <v>1.0905811696467311</v>
      </c>
      <c r="M16" s="6"/>
      <c r="N16" s="6"/>
      <c r="O16" s="6"/>
      <c r="P16" s="6" t="s">
        <v>78</v>
      </c>
    </row>
    <row r="17" spans="1:16" ht="15.75" hidden="1" customHeight="1" x14ac:dyDescent="0.3">
      <c r="A17" s="7" t="s">
        <v>14</v>
      </c>
      <c r="B17" s="9">
        <f>VLOOKUP(A17, 'Compound Classes'!$A$6:$C$23, 3, FALSE)</f>
        <v>6.8001768045969193</v>
      </c>
      <c r="C17" s="10">
        <v>6.58</v>
      </c>
      <c r="D17" s="8" t="s">
        <v>40</v>
      </c>
      <c r="E17" s="8">
        <f t="shared" si="0"/>
        <v>1</v>
      </c>
      <c r="F17" s="7" t="s">
        <v>79</v>
      </c>
      <c r="G17" s="7" t="s">
        <v>80</v>
      </c>
      <c r="H17" s="15">
        <v>100</v>
      </c>
      <c r="I17" s="15">
        <v>131.13</v>
      </c>
      <c r="J17" s="15">
        <f t="shared" si="1"/>
        <v>13113</v>
      </c>
      <c r="K17" s="6">
        <f t="shared" si="3"/>
        <v>43791</v>
      </c>
      <c r="L17" s="6">
        <f t="shared" si="2"/>
        <v>1.9703487017880386</v>
      </c>
      <c r="M17" s="6"/>
      <c r="N17" s="6"/>
      <c r="O17" s="6"/>
      <c r="P17" s="6" t="s">
        <v>78</v>
      </c>
    </row>
    <row r="18" spans="1:16" ht="15.6" x14ac:dyDescent="0.3">
      <c r="A18" s="7" t="s">
        <v>14</v>
      </c>
      <c r="B18" s="9">
        <f>VLOOKUP(A18, 'Compound Classes'!$A$6:$C$23, 3, FALSE)</f>
        <v>6.8001768045969193</v>
      </c>
      <c r="C18" s="10">
        <v>6.58</v>
      </c>
      <c r="D18" s="8" t="s">
        <v>40</v>
      </c>
      <c r="E18" s="8">
        <f t="shared" si="0"/>
        <v>1</v>
      </c>
      <c r="F18" s="7" t="s">
        <v>81</v>
      </c>
      <c r="G18" s="7" t="s">
        <v>82</v>
      </c>
      <c r="H18" s="15">
        <v>200</v>
      </c>
      <c r="I18" s="21">
        <v>117.1</v>
      </c>
      <c r="J18" s="15">
        <f t="shared" si="1"/>
        <v>23420</v>
      </c>
      <c r="K18" s="6">
        <f t="shared" si="3"/>
        <v>43791</v>
      </c>
      <c r="L18" s="6">
        <f t="shared" si="2"/>
        <v>3.5190701285652306</v>
      </c>
      <c r="M18" s="6"/>
      <c r="N18" s="6"/>
      <c r="O18" s="6">
        <v>3.5215000000000001</v>
      </c>
      <c r="P18" s="6"/>
    </row>
    <row r="19" spans="1:16" ht="15.6" x14ac:dyDescent="0.3">
      <c r="A19" s="8" t="s">
        <v>83</v>
      </c>
      <c r="B19" s="9">
        <f>VLOOKUP(A19, 'Compound Classes'!$A$6:$C$23, 3, FALSE)</f>
        <v>3.4952908775628164</v>
      </c>
      <c r="C19" s="10">
        <v>3.38</v>
      </c>
      <c r="D19" s="8" t="s">
        <v>40</v>
      </c>
      <c r="E19" s="8">
        <f t="shared" si="0"/>
        <v>1</v>
      </c>
      <c r="F19" s="7" t="s">
        <v>84</v>
      </c>
      <c r="G19" s="7" t="s">
        <v>85</v>
      </c>
      <c r="H19" s="7">
        <v>16</v>
      </c>
      <c r="I19" s="18">
        <v>132.11000000000001</v>
      </c>
      <c r="J19" s="15">
        <f t="shared" si="1"/>
        <v>2113.7600000000002</v>
      </c>
      <c r="K19" s="6">
        <f t="shared" si="3"/>
        <v>19393.5</v>
      </c>
      <c r="L19" s="6">
        <f t="shared" si="2"/>
        <v>0.36839708149637768</v>
      </c>
      <c r="M19" s="6"/>
      <c r="N19" s="6"/>
      <c r="O19" s="6">
        <v>0.36520000000000002</v>
      </c>
      <c r="P19" s="6"/>
    </row>
    <row r="20" spans="1:16" ht="15" customHeight="1" x14ac:dyDescent="0.3">
      <c r="A20" s="8" t="s">
        <v>83</v>
      </c>
      <c r="B20" s="9">
        <f>VLOOKUP(A20, 'Compound Classes'!$A$6:$C$23, 3, FALSE)</f>
        <v>3.4952908775628164</v>
      </c>
      <c r="C20" s="10">
        <v>3.38</v>
      </c>
      <c r="D20" s="8" t="s">
        <v>40</v>
      </c>
      <c r="E20" s="8">
        <f t="shared" si="0"/>
        <v>1</v>
      </c>
      <c r="F20" s="7" t="s">
        <v>86</v>
      </c>
      <c r="G20" s="7" t="s">
        <v>85</v>
      </c>
      <c r="H20" s="7">
        <v>19</v>
      </c>
      <c r="I20" s="18">
        <v>146.13999999999999</v>
      </c>
      <c r="J20" s="15">
        <f t="shared" si="1"/>
        <v>2776.66</v>
      </c>
      <c r="K20" s="6">
        <f t="shared" si="3"/>
        <v>19393.5</v>
      </c>
      <c r="L20" s="6">
        <f t="shared" si="2"/>
        <v>0.48393073968082084</v>
      </c>
      <c r="M20" s="6"/>
      <c r="N20" s="6"/>
      <c r="O20" s="6">
        <v>0.48259999999999997</v>
      </c>
      <c r="P20" s="6"/>
    </row>
    <row r="21" spans="1:16" ht="15" customHeight="1" x14ac:dyDescent="0.3">
      <c r="A21" s="8" t="s">
        <v>83</v>
      </c>
      <c r="B21" s="9">
        <f>VLOOKUP(A21, 'Compound Classes'!$A$6:$C$23, 3, FALSE)</f>
        <v>3.4952908775628164</v>
      </c>
      <c r="C21" s="10">
        <v>3.38</v>
      </c>
      <c r="D21" s="8" t="s">
        <v>40</v>
      </c>
      <c r="E21" s="8">
        <f t="shared" si="0"/>
        <v>1</v>
      </c>
      <c r="F21" s="7" t="s">
        <v>87</v>
      </c>
      <c r="G21" s="7" t="s">
        <v>85</v>
      </c>
      <c r="H21" s="7">
        <v>28</v>
      </c>
      <c r="I21" s="18">
        <v>132.11000000000001</v>
      </c>
      <c r="J21" s="15">
        <f t="shared" si="1"/>
        <v>3699.0800000000004</v>
      </c>
      <c r="K21" s="6">
        <f t="shared" si="3"/>
        <v>19393.5</v>
      </c>
      <c r="L21" s="6">
        <f t="shared" si="2"/>
        <v>0.64469489261866086</v>
      </c>
      <c r="M21" s="6"/>
      <c r="N21" s="6"/>
      <c r="O21" s="6">
        <v>0.94030000000000002</v>
      </c>
      <c r="P21" s="6"/>
    </row>
    <row r="22" spans="1:16" ht="15.6" x14ac:dyDescent="0.3">
      <c r="A22" s="8" t="s">
        <v>83</v>
      </c>
      <c r="B22" s="9">
        <f>VLOOKUP(A22, 'Compound Classes'!$A$6:$C$23, 3, FALSE)</f>
        <v>3.4952908775628164</v>
      </c>
      <c r="C22" s="10">
        <v>3.38</v>
      </c>
      <c r="D22" s="8" t="s">
        <v>40</v>
      </c>
      <c r="E22" s="8">
        <f t="shared" si="0"/>
        <v>1</v>
      </c>
      <c r="F22" s="7" t="s">
        <v>88</v>
      </c>
      <c r="G22" s="7" t="s">
        <v>85</v>
      </c>
      <c r="H22" s="7">
        <v>40</v>
      </c>
      <c r="I22" s="18">
        <v>270.10000000000002</v>
      </c>
      <c r="J22" s="15">
        <f t="shared" si="1"/>
        <v>10804</v>
      </c>
      <c r="K22" s="6">
        <f t="shared" si="3"/>
        <v>19393.5</v>
      </c>
      <c r="L22" s="6">
        <f t="shared" si="2"/>
        <v>1.8829772862041403</v>
      </c>
      <c r="M22" s="6"/>
      <c r="N22" s="6"/>
      <c r="O22" s="6">
        <v>1.8855</v>
      </c>
      <c r="P22" s="6"/>
    </row>
    <row r="23" spans="1:16" ht="15.75" customHeight="1" x14ac:dyDescent="0.3">
      <c r="A23" s="8" t="s">
        <v>89</v>
      </c>
      <c r="B23" s="9">
        <f>VLOOKUP(A23, 'Compound Classes'!$A$6:$C$23, 3, FALSE)</f>
        <v>1.9856516269423006</v>
      </c>
      <c r="C23" s="10">
        <v>1.92</v>
      </c>
      <c r="D23" s="8" t="s">
        <v>40</v>
      </c>
      <c r="E23" s="8">
        <f t="shared" si="0"/>
        <v>1</v>
      </c>
      <c r="F23" s="17" t="s">
        <v>90</v>
      </c>
      <c r="G23" s="7" t="s">
        <v>91</v>
      </c>
      <c r="H23" s="17">
        <v>10.4</v>
      </c>
      <c r="I23" s="15">
        <v>104.1</v>
      </c>
      <c r="J23" s="15">
        <f t="shared" si="1"/>
        <v>1082.6399999999999</v>
      </c>
      <c r="K23" s="6">
        <f t="shared" si="3"/>
        <v>68375.133499999996</v>
      </c>
      <c r="L23" s="6">
        <f t="shared" si="2"/>
        <v>3.0400946858845986E-2</v>
      </c>
      <c r="M23" s="6"/>
      <c r="N23" s="6"/>
      <c r="O23" s="6">
        <v>3.0099999999999998E-2</v>
      </c>
      <c r="P23" s="6"/>
    </row>
    <row r="24" spans="1:16" ht="15.75" customHeight="1" x14ac:dyDescent="0.3">
      <c r="A24" s="8" t="s">
        <v>89</v>
      </c>
      <c r="B24" s="9">
        <f>VLOOKUP(A24, 'Compound Classes'!$A$6:$C$23, 3, FALSE)</f>
        <v>1.9856516269423006</v>
      </c>
      <c r="C24" s="10">
        <v>1.92</v>
      </c>
      <c r="D24" s="8" t="s">
        <v>40</v>
      </c>
      <c r="E24" s="8">
        <f t="shared" si="0"/>
        <v>1</v>
      </c>
      <c r="F24" s="17" t="s">
        <v>92</v>
      </c>
      <c r="G24" s="7" t="s">
        <v>93</v>
      </c>
      <c r="H24" s="17">
        <v>18.3</v>
      </c>
      <c r="I24" s="15">
        <v>104.1</v>
      </c>
      <c r="J24" s="15">
        <f t="shared" si="1"/>
        <v>1905.03</v>
      </c>
      <c r="K24" s="6">
        <f t="shared" si="3"/>
        <v>68375.133499999996</v>
      </c>
      <c r="L24" s="6">
        <f t="shared" si="2"/>
        <v>5.3493973799700154E-2</v>
      </c>
      <c r="M24" s="6"/>
      <c r="N24" s="6">
        <v>1.1259999999999999</v>
      </c>
      <c r="O24" s="6">
        <v>5.0000000000000001E-3</v>
      </c>
      <c r="P24" t="s">
        <v>94</v>
      </c>
    </row>
    <row r="25" spans="1:16" ht="15.75" customHeight="1" x14ac:dyDescent="0.3">
      <c r="A25" s="8" t="s">
        <v>89</v>
      </c>
      <c r="B25" s="9">
        <f>VLOOKUP(A25, 'Compound Classes'!$A$6:$C$23, 3, FALSE)</f>
        <v>1.9856516269423006</v>
      </c>
      <c r="C25" s="10">
        <v>1.92</v>
      </c>
      <c r="D25" s="8" t="s">
        <v>40</v>
      </c>
      <c r="E25" s="8">
        <f t="shared" si="0"/>
        <v>1</v>
      </c>
      <c r="F25" s="17" t="s">
        <v>95</v>
      </c>
      <c r="G25" s="7" t="s">
        <v>96</v>
      </c>
      <c r="H25" s="17">
        <v>18.3</v>
      </c>
      <c r="I25" s="15">
        <v>118.13</v>
      </c>
      <c r="J25" s="15">
        <f t="shared" si="1"/>
        <v>2161.779</v>
      </c>
      <c r="K25" s="6">
        <f t="shared" si="3"/>
        <v>68375.133499999996</v>
      </c>
      <c r="L25" s="6">
        <f t="shared" si="2"/>
        <v>6.0703584293550231E-2</v>
      </c>
      <c r="M25" s="6"/>
      <c r="N25" s="6"/>
      <c r="O25" s="6">
        <v>6.1800000000000001E-2</v>
      </c>
      <c r="P25" s="6"/>
    </row>
    <row r="26" spans="1:16" ht="15.75" customHeight="1" x14ac:dyDescent="0.3">
      <c r="A26" s="8" t="s">
        <v>89</v>
      </c>
      <c r="B26" s="9">
        <f>VLOOKUP(A26, 'Compound Classes'!$A$6:$C$23, 3, FALSE)</f>
        <v>1.9856516269423006</v>
      </c>
      <c r="C26" s="10">
        <v>1.92</v>
      </c>
      <c r="D26" s="8" t="s">
        <v>40</v>
      </c>
      <c r="E26" s="8">
        <f t="shared" si="0"/>
        <v>1</v>
      </c>
      <c r="F26" s="17" t="s">
        <v>97</v>
      </c>
      <c r="G26" s="7" t="s">
        <v>98</v>
      </c>
      <c r="H26" s="17">
        <v>18.600000000000001</v>
      </c>
      <c r="I26" s="15">
        <v>118.13</v>
      </c>
      <c r="J26" s="15">
        <f t="shared" si="1"/>
        <v>2197.2180000000003</v>
      </c>
      <c r="K26" s="6">
        <f t="shared" si="3"/>
        <v>68375.133499999996</v>
      </c>
      <c r="L26" s="6">
        <f t="shared" si="2"/>
        <v>6.1698725019674015E-2</v>
      </c>
      <c r="M26" s="6"/>
      <c r="N26" s="6"/>
      <c r="O26" s="6">
        <v>6.1800000000000001E-2</v>
      </c>
      <c r="P26" s="6"/>
    </row>
    <row r="27" spans="1:16" ht="15.75" customHeight="1" x14ac:dyDescent="0.3">
      <c r="A27" s="8" t="s">
        <v>89</v>
      </c>
      <c r="B27" s="9">
        <f>VLOOKUP(A27, 'Compound Classes'!$A$6:$C$23, 3, FALSE)</f>
        <v>1.9856516269423006</v>
      </c>
      <c r="C27" s="10">
        <v>1.92</v>
      </c>
      <c r="D27" s="8" t="s">
        <v>40</v>
      </c>
      <c r="E27" s="8">
        <f t="shared" si="0"/>
        <v>1</v>
      </c>
      <c r="F27" s="17" t="s">
        <v>99</v>
      </c>
      <c r="G27" s="7" t="s">
        <v>100</v>
      </c>
      <c r="H27" s="17">
        <v>30</v>
      </c>
      <c r="I27" s="15">
        <v>104.1</v>
      </c>
      <c r="J27" s="15">
        <f t="shared" si="1"/>
        <v>3123</v>
      </c>
      <c r="K27" s="6">
        <f t="shared" si="3"/>
        <v>68375.133499999996</v>
      </c>
      <c r="L27" s="6">
        <f t="shared" si="2"/>
        <v>8.7695039015901893E-2</v>
      </c>
      <c r="M27" s="6"/>
      <c r="N27" s="6"/>
      <c r="O27" s="6">
        <v>8.9399999999999993E-2</v>
      </c>
      <c r="P27" s="6"/>
    </row>
    <row r="28" spans="1:16" ht="15.75" hidden="1" customHeight="1" x14ac:dyDescent="0.3">
      <c r="A28" s="8" t="s">
        <v>89</v>
      </c>
      <c r="B28" s="9">
        <f>VLOOKUP(A28, 'Compound Classes'!$A$6:$C$23, 3, FALSE)</f>
        <v>1.9856516269423006</v>
      </c>
      <c r="C28" s="10">
        <v>1.92</v>
      </c>
      <c r="D28" s="8" t="s">
        <v>40</v>
      </c>
      <c r="E28" s="8">
        <f t="shared" si="0"/>
        <v>1</v>
      </c>
      <c r="F28" s="17" t="s">
        <v>101</v>
      </c>
      <c r="G28" s="7" t="s">
        <v>102</v>
      </c>
      <c r="H28" s="17">
        <v>39.9</v>
      </c>
      <c r="I28" s="15">
        <v>89.07</v>
      </c>
      <c r="J28" s="15">
        <f t="shared" si="1"/>
        <v>3553.8929999999996</v>
      </c>
      <c r="K28" s="6">
        <f t="shared" si="3"/>
        <v>68375.133499999996</v>
      </c>
      <c r="L28" s="6">
        <f t="shared" si="2"/>
        <v>9.9794679888997942E-2</v>
      </c>
      <c r="M28" s="6"/>
      <c r="N28" s="6"/>
      <c r="O28" s="6"/>
      <c r="P28" t="s">
        <v>78</v>
      </c>
    </row>
    <row r="29" spans="1:16" ht="15.6" x14ac:dyDescent="0.3">
      <c r="A29" s="8" t="s">
        <v>89</v>
      </c>
      <c r="B29" s="9">
        <f>VLOOKUP(A29, 'Compound Classes'!$A$6:$C$23, 3, FALSE)</f>
        <v>1.9856516269423006</v>
      </c>
      <c r="C29" s="10">
        <v>1.92</v>
      </c>
      <c r="D29" s="8" t="s">
        <v>40</v>
      </c>
      <c r="E29" s="8">
        <f t="shared" si="0"/>
        <v>1</v>
      </c>
      <c r="F29" s="22" t="s">
        <v>103</v>
      </c>
      <c r="G29" s="13" t="s">
        <v>104</v>
      </c>
      <c r="H29" s="22">
        <v>44.3</v>
      </c>
      <c r="I29" s="15">
        <v>90.08</v>
      </c>
      <c r="J29" s="15">
        <f t="shared" si="1"/>
        <v>3990.5439999999999</v>
      </c>
      <c r="K29" s="6">
        <f t="shared" si="3"/>
        <v>68375.133499999996</v>
      </c>
      <c r="L29" s="6">
        <f t="shared" si="2"/>
        <v>0.11205600761276759</v>
      </c>
      <c r="M29" s="6"/>
      <c r="N29" s="6">
        <v>1.21</v>
      </c>
      <c r="O29">
        <v>0.1135</v>
      </c>
      <c r="P29" s="6"/>
    </row>
    <row r="30" spans="1:16" ht="15.75" hidden="1" customHeight="1" x14ac:dyDescent="0.3">
      <c r="A30" s="8" t="s">
        <v>89</v>
      </c>
      <c r="B30" s="9">
        <f>VLOOKUP(A30, 'Compound Classes'!$A$6:$C$23, 3, FALSE)</f>
        <v>1.9856516269423006</v>
      </c>
      <c r="C30" s="10">
        <v>1.92</v>
      </c>
      <c r="D30" s="8" t="s">
        <v>40</v>
      </c>
      <c r="E30" s="8">
        <f t="shared" si="0"/>
        <v>1</v>
      </c>
      <c r="F30" s="22" t="s">
        <v>105</v>
      </c>
      <c r="G30" s="13" t="s">
        <v>106</v>
      </c>
      <c r="H30" s="22">
        <v>51.5</v>
      </c>
      <c r="I30" s="15">
        <v>90.08</v>
      </c>
      <c r="J30" s="15">
        <f t="shared" si="1"/>
        <v>4639.12</v>
      </c>
      <c r="K30" s="6">
        <f t="shared" si="3"/>
        <v>68375.133499999996</v>
      </c>
      <c r="L30" s="6">
        <f t="shared" si="2"/>
        <v>0.13026827070107294</v>
      </c>
      <c r="M30" s="6"/>
      <c r="N30" s="6"/>
      <c r="O30" s="6"/>
      <c r="P30" t="s">
        <v>78</v>
      </c>
    </row>
    <row r="31" spans="1:16" ht="15.75" customHeight="1" x14ac:dyDescent="0.3">
      <c r="A31" s="8" t="s">
        <v>89</v>
      </c>
      <c r="B31" s="9">
        <f>VLOOKUP(A31, 'Compound Classes'!$A$6:$C$23, 3, FALSE)</f>
        <v>1.9856516269423006</v>
      </c>
      <c r="C31" s="10">
        <v>1.92</v>
      </c>
      <c r="D31" s="8" t="s">
        <v>40</v>
      </c>
      <c r="E31" s="8">
        <f t="shared" si="0"/>
        <v>1</v>
      </c>
      <c r="F31" s="22" t="s">
        <v>107</v>
      </c>
      <c r="G31" s="13" t="s">
        <v>108</v>
      </c>
      <c r="H31" s="22">
        <v>65</v>
      </c>
      <c r="I31" s="23">
        <v>76.05</v>
      </c>
      <c r="J31" s="15">
        <f t="shared" si="1"/>
        <v>4943.25</v>
      </c>
      <c r="K31" s="6">
        <f t="shared" si="3"/>
        <v>68375.133499999996</v>
      </c>
      <c r="L31" s="6">
        <f t="shared" si="2"/>
        <v>0.13880835786594845</v>
      </c>
      <c r="M31" s="6"/>
      <c r="N31" s="6"/>
      <c r="O31" s="6">
        <v>0.1371</v>
      </c>
      <c r="P31" s="6"/>
    </row>
    <row r="32" spans="1:16" ht="15.75" hidden="1" customHeight="1" x14ac:dyDescent="0.3">
      <c r="A32" s="8" t="s">
        <v>89</v>
      </c>
      <c r="B32" s="9">
        <f>VLOOKUP(A32, 'Compound Classes'!$A$6:$C$23, 3, FALSE)</f>
        <v>1.9856516269423006</v>
      </c>
      <c r="C32" s="10">
        <v>1.92</v>
      </c>
      <c r="D32" s="8" t="s">
        <v>40</v>
      </c>
      <c r="E32" s="8">
        <f t="shared" si="0"/>
        <v>1</v>
      </c>
      <c r="F32" s="22" t="s">
        <v>109</v>
      </c>
      <c r="G32" s="13" t="s">
        <v>110</v>
      </c>
      <c r="H32" s="22">
        <v>61</v>
      </c>
      <c r="I32" s="23">
        <v>131.15</v>
      </c>
      <c r="J32" s="15">
        <f t="shared" si="1"/>
        <v>8000.1500000000005</v>
      </c>
      <c r="K32" s="6">
        <f t="shared" si="3"/>
        <v>68375.133499999996</v>
      </c>
      <c r="L32" s="6">
        <f t="shared" si="2"/>
        <v>0.22464728350402419</v>
      </c>
      <c r="M32" s="6"/>
      <c r="N32" s="6"/>
      <c r="O32" s="6"/>
      <c r="P32" t="s">
        <v>78</v>
      </c>
    </row>
    <row r="33" spans="1:16" ht="15.75" customHeight="1" x14ac:dyDescent="0.3">
      <c r="A33" s="8" t="s">
        <v>89</v>
      </c>
      <c r="B33" s="9">
        <f>VLOOKUP(A33, 'Compound Classes'!$A$6:$C$23, 3, FALSE)</f>
        <v>1.9856516269423006</v>
      </c>
      <c r="C33" s="10">
        <v>1.92</v>
      </c>
      <c r="D33" s="8" t="s">
        <v>40</v>
      </c>
      <c r="E33" s="8">
        <f t="shared" si="0"/>
        <v>1</v>
      </c>
      <c r="F33" s="22" t="s">
        <v>111</v>
      </c>
      <c r="G33" s="13" t="s">
        <v>112</v>
      </c>
      <c r="H33" s="22">
        <v>61</v>
      </c>
      <c r="I33" s="23">
        <v>132.16</v>
      </c>
      <c r="J33" s="15">
        <f t="shared" si="1"/>
        <v>8061.76</v>
      </c>
      <c r="K33" s="6">
        <f t="shared" si="3"/>
        <v>68375.133499999996</v>
      </c>
      <c r="L33" s="6">
        <f t="shared" si="2"/>
        <v>0.22637731595800104</v>
      </c>
      <c r="M33" s="6"/>
      <c r="N33" s="6"/>
      <c r="O33" s="6">
        <v>0.2243</v>
      </c>
      <c r="P33" s="6"/>
    </row>
    <row r="34" spans="1:16" ht="15.75" hidden="1" customHeight="1" x14ac:dyDescent="0.3">
      <c r="A34" s="8" t="s">
        <v>89</v>
      </c>
      <c r="B34" s="9">
        <f>VLOOKUP(A34, 'Compound Classes'!$A$6:$C$23, 3, FALSE)</f>
        <v>1.9856516269423006</v>
      </c>
      <c r="C34" s="10">
        <v>1.92</v>
      </c>
      <c r="D34" s="8" t="s">
        <v>40</v>
      </c>
      <c r="E34" s="8">
        <f t="shared" ref="E34:E65" si="4">IF(D34="yes",1,0)</f>
        <v>1</v>
      </c>
      <c r="F34" s="22" t="s">
        <v>113</v>
      </c>
      <c r="G34" s="13" t="s">
        <v>114</v>
      </c>
      <c r="H34" s="22">
        <v>61</v>
      </c>
      <c r="I34" s="23">
        <v>132.16</v>
      </c>
      <c r="J34" s="15">
        <f t="shared" si="1"/>
        <v>8061.76</v>
      </c>
      <c r="K34" s="6">
        <f t="shared" si="3"/>
        <v>68375.133499999996</v>
      </c>
      <c r="L34" s="6">
        <f t="shared" si="2"/>
        <v>0.22637731595800104</v>
      </c>
      <c r="M34" s="6"/>
      <c r="N34" s="6"/>
      <c r="O34" s="6"/>
      <c r="P34" t="s">
        <v>78</v>
      </c>
    </row>
    <row r="35" spans="1:16" ht="15.75" customHeight="1" x14ac:dyDescent="0.3">
      <c r="A35" s="8" t="s">
        <v>89</v>
      </c>
      <c r="B35" s="9">
        <f>VLOOKUP(A35, 'Compound Classes'!$A$6:$C$23, 3, FALSE)</f>
        <v>1.9856516269423006</v>
      </c>
      <c r="C35" s="10">
        <v>1.92</v>
      </c>
      <c r="D35" s="8" t="s">
        <v>40</v>
      </c>
      <c r="E35" s="8">
        <f t="shared" si="4"/>
        <v>1</v>
      </c>
      <c r="F35" s="22" t="s">
        <v>115</v>
      </c>
      <c r="G35" s="13" t="s">
        <v>116</v>
      </c>
      <c r="H35" s="22">
        <v>54.45</v>
      </c>
      <c r="I35" s="23">
        <v>148.11000000000001</v>
      </c>
      <c r="J35" s="15">
        <f t="shared" ref="J35:J66" si="5">H35*I35</f>
        <v>8064.589500000001</v>
      </c>
      <c r="K35" s="6">
        <f t="shared" si="3"/>
        <v>68375.133499999996</v>
      </c>
      <c r="L35" s="6">
        <f t="shared" si="2"/>
        <v>0.22645676940433324</v>
      </c>
      <c r="M35" s="6"/>
      <c r="N35" s="6"/>
      <c r="O35" s="6">
        <v>0.01</v>
      </c>
      <c r="P35" t="s">
        <v>94</v>
      </c>
    </row>
    <row r="36" spans="1:16" ht="15.6" x14ac:dyDescent="0.3">
      <c r="A36" s="8" t="s">
        <v>89</v>
      </c>
      <c r="B36" s="9">
        <f>VLOOKUP(A36, 'Compound Classes'!$A$6:$C$23, 3, FALSE)</f>
        <v>1.9856516269423006</v>
      </c>
      <c r="C36" s="10">
        <v>1.92</v>
      </c>
      <c r="D36" s="8" t="s">
        <v>40</v>
      </c>
      <c r="E36" s="8">
        <f t="shared" si="4"/>
        <v>1</v>
      </c>
      <c r="F36" s="22" t="s">
        <v>117</v>
      </c>
      <c r="G36" s="13" t="s">
        <v>118</v>
      </c>
      <c r="H36" s="22">
        <v>65</v>
      </c>
      <c r="I36" s="23">
        <v>132.16</v>
      </c>
      <c r="J36" s="15">
        <f t="shared" si="5"/>
        <v>8590.4</v>
      </c>
      <c r="K36" s="6">
        <f t="shared" ref="K36:K67" si="6">SUMIFS(J$2:J$116,A$2:A$116,A36,D$2:D$116,"=yes")</f>
        <v>68375.133499999996</v>
      </c>
      <c r="L36" s="6">
        <f t="shared" si="2"/>
        <v>0.24122173011918141</v>
      </c>
      <c r="M36" s="6"/>
      <c r="N36" s="6"/>
      <c r="O36" s="6">
        <v>0.24049999999999999</v>
      </c>
      <c r="P36" s="6"/>
    </row>
    <row r="37" spans="1:16" ht="15.75" hidden="1" customHeight="1" x14ac:dyDescent="0.3">
      <c r="A37" s="8" t="s">
        <v>119</v>
      </c>
      <c r="B37" s="9" t="e">
        <f>VLOOKUP(A37, 'Compound Classes'!$A$6:$C$23, 3, FALSE)</f>
        <v>#N/A</v>
      </c>
      <c r="C37" s="10" t="s">
        <v>21</v>
      </c>
      <c r="D37" s="8" t="s">
        <v>40</v>
      </c>
      <c r="E37" s="8">
        <f t="shared" si="4"/>
        <v>1</v>
      </c>
      <c r="F37" s="13" t="s">
        <v>120</v>
      </c>
      <c r="G37" s="13" t="s">
        <v>121</v>
      </c>
      <c r="H37" s="13">
        <v>15</v>
      </c>
      <c r="I37" s="15">
        <v>148.12</v>
      </c>
      <c r="J37" s="15">
        <f t="shared" si="5"/>
        <v>2221.8000000000002</v>
      </c>
      <c r="K37" s="6">
        <f t="shared" si="6"/>
        <v>2221.8000000000002</v>
      </c>
      <c r="L37" s="7" t="s">
        <v>21</v>
      </c>
      <c r="M37" s="7" t="s">
        <v>122</v>
      </c>
      <c r="N37" s="7"/>
      <c r="O37" s="6"/>
      <c r="P37" t="s">
        <v>78</v>
      </c>
    </row>
    <row r="38" spans="1:16" ht="15.6" hidden="1" x14ac:dyDescent="0.3">
      <c r="A38" s="8" t="s">
        <v>123</v>
      </c>
      <c r="B38" s="9">
        <f>VLOOKUP(A38, 'Compound Classes'!$A$6:$C$23, 3, FALSE)</f>
        <v>45.153173982523548</v>
      </c>
      <c r="C38" s="6">
        <v>43.668409457104339</v>
      </c>
      <c r="D38" s="8" t="s">
        <v>40</v>
      </c>
      <c r="E38" s="8">
        <f t="shared" si="4"/>
        <v>1</v>
      </c>
      <c r="F38" s="22" t="s">
        <v>124</v>
      </c>
      <c r="G38" s="13" t="s">
        <v>125</v>
      </c>
      <c r="H38" s="22">
        <v>84.4</v>
      </c>
      <c r="I38" s="7">
        <v>158.24</v>
      </c>
      <c r="J38" s="15">
        <f t="shared" si="5"/>
        <v>13355.456000000002</v>
      </c>
      <c r="K38" s="6">
        <f t="shared" si="6"/>
        <v>698435.87699999998</v>
      </c>
      <c r="L38" s="6">
        <f t="shared" ref="L38:L69" si="7">J38*E38/K38*C38</f>
        <v>0.83502514733266053</v>
      </c>
      <c r="M38" s="6"/>
      <c r="N38" s="6"/>
      <c r="O38" s="6"/>
      <c r="P38" t="s">
        <v>78</v>
      </c>
    </row>
    <row r="39" spans="1:16" ht="15.6" x14ac:dyDescent="0.3">
      <c r="A39" s="8" t="s">
        <v>123</v>
      </c>
      <c r="B39" s="9">
        <f>VLOOKUP(A39, 'Compound Classes'!$A$6:$C$23, 3, FALSE)</f>
        <v>45.153173982523548</v>
      </c>
      <c r="C39" s="6">
        <v>43.668409457104339</v>
      </c>
      <c r="D39" s="8" t="s">
        <v>40</v>
      </c>
      <c r="E39" s="8">
        <f t="shared" si="4"/>
        <v>1</v>
      </c>
      <c r="F39" s="24" t="s">
        <v>126</v>
      </c>
      <c r="G39" s="13" t="s">
        <v>125</v>
      </c>
      <c r="H39" s="17">
        <v>42</v>
      </c>
      <c r="I39" s="15">
        <v>46.024999999999999</v>
      </c>
      <c r="J39" s="15">
        <f t="shared" si="5"/>
        <v>1933.05</v>
      </c>
      <c r="K39" s="6">
        <f t="shared" si="6"/>
        <v>698435.87699999998</v>
      </c>
      <c r="L39" s="6">
        <f t="shared" si="7"/>
        <v>0.120860370552035</v>
      </c>
      <c r="M39" s="6"/>
      <c r="N39" s="6">
        <v>1.22</v>
      </c>
      <c r="O39" s="6">
        <v>0.12609999999999999</v>
      </c>
      <c r="P39" s="6"/>
    </row>
    <row r="40" spans="1:16" ht="15.6" x14ac:dyDescent="0.3">
      <c r="A40" s="8" t="s">
        <v>123</v>
      </c>
      <c r="B40" s="9">
        <f>VLOOKUP(A40, 'Compound Classes'!$A$6:$C$23, 3, FALSE)</f>
        <v>45.153173982523548</v>
      </c>
      <c r="C40" s="6">
        <v>43.668409457104339</v>
      </c>
      <c r="D40" s="8" t="s">
        <v>40</v>
      </c>
      <c r="E40" s="8">
        <f t="shared" si="4"/>
        <v>1</v>
      </c>
      <c r="F40" s="24" t="s">
        <v>127</v>
      </c>
      <c r="G40" s="13" t="s">
        <v>125</v>
      </c>
      <c r="H40" s="17">
        <v>37.4</v>
      </c>
      <c r="I40" s="7">
        <v>116.16</v>
      </c>
      <c r="J40" s="15">
        <f t="shared" si="5"/>
        <v>4344.384</v>
      </c>
      <c r="K40" s="6">
        <f t="shared" si="6"/>
        <v>698435.87699999998</v>
      </c>
      <c r="L40" s="6">
        <f t="shared" si="7"/>
        <v>0.27162456225153619</v>
      </c>
      <c r="M40" s="6"/>
      <c r="N40" s="6">
        <v>0.92</v>
      </c>
      <c r="O40" s="6">
        <v>0.27739999999999998</v>
      </c>
      <c r="P40" s="6"/>
    </row>
    <row r="41" spans="1:16" ht="15.6" x14ac:dyDescent="0.3">
      <c r="A41" s="8" t="s">
        <v>123</v>
      </c>
      <c r="B41" s="9">
        <f>VLOOKUP(A41, 'Compound Classes'!$A$6:$C$23, 3, FALSE)</f>
        <v>45.153173982523548</v>
      </c>
      <c r="C41" s="6">
        <v>43.668409457104339</v>
      </c>
      <c r="D41" s="8" t="s">
        <v>40</v>
      </c>
      <c r="E41" s="8">
        <f t="shared" si="4"/>
        <v>1</v>
      </c>
      <c r="F41" s="24" t="s">
        <v>128</v>
      </c>
      <c r="G41" s="13" t="s">
        <v>125</v>
      </c>
      <c r="H41" s="17">
        <v>56</v>
      </c>
      <c r="I41" s="15">
        <v>116.16</v>
      </c>
      <c r="J41" s="15">
        <f t="shared" si="5"/>
        <v>6504.96</v>
      </c>
      <c r="K41" s="6">
        <f t="shared" si="6"/>
        <v>698435.87699999998</v>
      </c>
      <c r="L41" s="6">
        <f t="shared" si="7"/>
        <v>0.40671057449427883</v>
      </c>
      <c r="M41" s="6"/>
      <c r="N41" s="6">
        <v>0.91</v>
      </c>
      <c r="O41" s="6">
        <v>0.41260000000000002</v>
      </c>
      <c r="P41" s="6"/>
    </row>
    <row r="42" spans="1:16" ht="15.6" hidden="1" x14ac:dyDescent="0.3">
      <c r="A42" s="8" t="s">
        <v>123</v>
      </c>
      <c r="B42" s="9">
        <f>VLOOKUP(A42, 'Compound Classes'!$A$6:$C$23, 3, FALSE)</f>
        <v>45.153173982523548</v>
      </c>
      <c r="C42" s="6">
        <v>43.668409457104339</v>
      </c>
      <c r="D42" s="8" t="s">
        <v>40</v>
      </c>
      <c r="E42" s="8">
        <f t="shared" si="4"/>
        <v>1</v>
      </c>
      <c r="F42" s="25" t="s">
        <v>129</v>
      </c>
      <c r="G42" s="13" t="s">
        <v>125</v>
      </c>
      <c r="H42" s="17">
        <v>57.1</v>
      </c>
      <c r="I42" s="15">
        <v>130.18</v>
      </c>
      <c r="J42" s="15">
        <f t="shared" si="5"/>
        <v>7433.2780000000002</v>
      </c>
      <c r="K42" s="6">
        <f t="shared" si="6"/>
        <v>698435.87699999998</v>
      </c>
      <c r="L42" s="6">
        <f t="shared" si="7"/>
        <v>0.46475193786828572</v>
      </c>
      <c r="M42" s="6"/>
      <c r="N42" s="6"/>
      <c r="O42" s="6"/>
      <c r="P42" t="s">
        <v>78</v>
      </c>
    </row>
    <row r="43" spans="1:16" ht="15.6" x14ac:dyDescent="0.3">
      <c r="A43" s="8" t="s">
        <v>123</v>
      </c>
      <c r="B43" s="9">
        <f>VLOOKUP(A43, 'Compound Classes'!$A$6:$C$23, 3, FALSE)</f>
        <v>45.153173982523548</v>
      </c>
      <c r="C43" s="6">
        <v>43.668409457104339</v>
      </c>
      <c r="D43" s="8" t="s">
        <v>40</v>
      </c>
      <c r="E43" s="8">
        <f t="shared" si="4"/>
        <v>1</v>
      </c>
      <c r="F43" s="24" t="s">
        <v>130</v>
      </c>
      <c r="G43" s="13" t="s">
        <v>125</v>
      </c>
      <c r="H43" s="17">
        <v>85.7</v>
      </c>
      <c r="I43" s="15">
        <v>88.11</v>
      </c>
      <c r="J43" s="15">
        <f t="shared" si="5"/>
        <v>7551.027</v>
      </c>
      <c r="K43" s="6">
        <f t="shared" si="6"/>
        <v>698435.87699999998</v>
      </c>
      <c r="L43" s="6">
        <f t="shared" si="7"/>
        <v>0.47211397598014604</v>
      </c>
      <c r="M43" s="6"/>
      <c r="N43" s="6">
        <v>0.95</v>
      </c>
      <c r="O43" s="6">
        <v>0.47699999999999998</v>
      </c>
      <c r="P43" s="6"/>
    </row>
    <row r="44" spans="1:16" ht="15.6" hidden="1" x14ac:dyDescent="0.3">
      <c r="A44" s="8" t="s">
        <v>123</v>
      </c>
      <c r="B44" s="9">
        <f>VLOOKUP(A44, 'Compound Classes'!$A$6:$C$23, 3, FALSE)</f>
        <v>45.153173982523548</v>
      </c>
      <c r="C44" s="6">
        <v>43.668409457104339</v>
      </c>
      <c r="D44" s="8" t="s">
        <v>40</v>
      </c>
      <c r="E44" s="8">
        <f t="shared" si="4"/>
        <v>1</v>
      </c>
      <c r="F44" s="24" t="s">
        <v>131</v>
      </c>
      <c r="G44" s="13" t="s">
        <v>125</v>
      </c>
      <c r="H44" s="17">
        <v>60.2</v>
      </c>
      <c r="I44" s="15">
        <v>130.18</v>
      </c>
      <c r="J44" s="15">
        <f t="shared" si="5"/>
        <v>7836.8360000000011</v>
      </c>
      <c r="K44" s="6">
        <f t="shared" si="6"/>
        <v>698435.87699999998</v>
      </c>
      <c r="L44" s="6">
        <f t="shared" si="7"/>
        <v>0.48998365428495283</v>
      </c>
      <c r="M44" s="6"/>
      <c r="N44" s="6"/>
      <c r="O44" s="6"/>
      <c r="P44" t="s">
        <v>78</v>
      </c>
    </row>
    <row r="45" spans="1:16" ht="15" hidden="1" customHeight="1" x14ac:dyDescent="0.3">
      <c r="A45" s="8" t="s">
        <v>123</v>
      </c>
      <c r="B45" s="9">
        <f>VLOOKUP(A45, 'Compound Classes'!$A$6:$C$23, 3, FALSE)</f>
        <v>45.153173982523548</v>
      </c>
      <c r="C45" s="6">
        <v>43.668409457104339</v>
      </c>
      <c r="D45" s="8" t="s">
        <v>40</v>
      </c>
      <c r="E45" s="8">
        <f t="shared" si="4"/>
        <v>1</v>
      </c>
      <c r="F45" s="24" t="s">
        <v>132</v>
      </c>
      <c r="G45" s="13" t="s">
        <v>125</v>
      </c>
      <c r="H45" s="17">
        <v>60.6</v>
      </c>
      <c r="I45" s="15">
        <v>130.18</v>
      </c>
      <c r="J45" s="15">
        <f t="shared" si="5"/>
        <v>7888.9080000000004</v>
      </c>
      <c r="K45" s="6">
        <f t="shared" si="6"/>
        <v>698435.87699999998</v>
      </c>
      <c r="L45" s="6">
        <f t="shared" si="7"/>
        <v>0.49323935962903881</v>
      </c>
      <c r="M45" s="6"/>
      <c r="N45" s="6"/>
      <c r="O45" s="6"/>
      <c r="P45" t="s">
        <v>78</v>
      </c>
    </row>
    <row r="46" spans="1:16" ht="15.6" x14ac:dyDescent="0.3">
      <c r="A46" s="8" t="s">
        <v>123</v>
      </c>
      <c r="B46" s="9">
        <f>VLOOKUP(A46, 'Compound Classes'!$A$6:$C$23, 3, FALSE)</f>
        <v>45.153173982523548</v>
      </c>
      <c r="C46" s="6">
        <v>43.668409457104339</v>
      </c>
      <c r="D46" s="8" t="s">
        <v>40</v>
      </c>
      <c r="E46" s="8">
        <f t="shared" si="4"/>
        <v>1</v>
      </c>
      <c r="F46" s="24" t="s">
        <v>133</v>
      </c>
      <c r="G46" s="13" t="s">
        <v>125</v>
      </c>
      <c r="H46" s="17">
        <v>71.7</v>
      </c>
      <c r="I46" s="15">
        <v>116.16</v>
      </c>
      <c r="J46" s="15">
        <f t="shared" si="5"/>
        <v>8328.6720000000005</v>
      </c>
      <c r="K46" s="6">
        <f t="shared" si="6"/>
        <v>698435.87699999998</v>
      </c>
      <c r="L46" s="6">
        <f t="shared" si="7"/>
        <v>0.52073478912928195</v>
      </c>
      <c r="M46" s="6"/>
      <c r="N46" s="6">
        <v>0.92800000000000005</v>
      </c>
      <c r="O46" s="6">
        <v>0.52890000000000004</v>
      </c>
      <c r="P46" s="6"/>
    </row>
    <row r="47" spans="1:16" ht="15" hidden="1" customHeight="1" x14ac:dyDescent="0.3">
      <c r="A47" s="8" t="s">
        <v>123</v>
      </c>
      <c r="B47" s="9">
        <f>VLOOKUP(A47, 'Compound Classes'!$A$6:$C$23, 3, FALSE)</f>
        <v>45.153173982523548</v>
      </c>
      <c r="C47" s="6">
        <v>43.668409457104339</v>
      </c>
      <c r="D47" s="8" t="s">
        <v>40</v>
      </c>
      <c r="E47" s="8">
        <f t="shared" si="4"/>
        <v>1</v>
      </c>
      <c r="F47" s="17" t="s">
        <v>134</v>
      </c>
      <c r="G47" s="13" t="s">
        <v>125</v>
      </c>
      <c r="H47" s="17">
        <v>64.3</v>
      </c>
      <c r="I47" s="15">
        <v>130.18</v>
      </c>
      <c r="J47" s="15">
        <f t="shared" si="5"/>
        <v>8370.5740000000005</v>
      </c>
      <c r="K47" s="6">
        <f t="shared" si="6"/>
        <v>698435.87699999998</v>
      </c>
      <c r="L47" s="6">
        <f t="shared" si="7"/>
        <v>0.52335463406183491</v>
      </c>
      <c r="M47" s="6"/>
      <c r="N47" s="6"/>
      <c r="O47" s="6"/>
      <c r="P47" t="s">
        <v>78</v>
      </c>
    </row>
    <row r="48" spans="1:16" ht="15" hidden="1" customHeight="1" x14ac:dyDescent="0.3">
      <c r="A48" s="8" t="s">
        <v>123</v>
      </c>
      <c r="B48" s="9">
        <f>VLOOKUP(A48, 'Compound Classes'!$A$6:$C$23, 3, FALSE)</f>
        <v>45.153173982523548</v>
      </c>
      <c r="C48" s="6">
        <v>43.668409457104339</v>
      </c>
      <c r="D48" s="8" t="s">
        <v>40</v>
      </c>
      <c r="E48" s="8">
        <f t="shared" si="4"/>
        <v>1</v>
      </c>
      <c r="F48" s="24" t="s">
        <v>135</v>
      </c>
      <c r="G48" s="13" t="s">
        <v>125</v>
      </c>
      <c r="H48" s="17">
        <v>62.3</v>
      </c>
      <c r="I48" s="15">
        <v>144.21</v>
      </c>
      <c r="J48" s="15">
        <f t="shared" si="5"/>
        <v>8984.2829999999994</v>
      </c>
      <c r="K48" s="6">
        <f t="shared" si="6"/>
        <v>698435.87699999998</v>
      </c>
      <c r="L48" s="6">
        <f t="shared" si="7"/>
        <v>0.56172565247890571</v>
      </c>
      <c r="M48" s="6"/>
      <c r="N48" s="6"/>
      <c r="O48" s="6"/>
      <c r="P48" s="6" t="s">
        <v>78</v>
      </c>
    </row>
    <row r="49" spans="1:16" ht="15" hidden="1" customHeight="1" x14ac:dyDescent="0.3">
      <c r="A49" s="8" t="s">
        <v>123</v>
      </c>
      <c r="B49" s="9">
        <f>VLOOKUP(A49, 'Compound Classes'!$A$6:$C$23, 3, FALSE)</f>
        <v>45.153173982523548</v>
      </c>
      <c r="C49" s="6">
        <v>43.668409457104339</v>
      </c>
      <c r="D49" s="8" t="s">
        <v>40</v>
      </c>
      <c r="E49" s="8">
        <f t="shared" si="4"/>
        <v>1</v>
      </c>
      <c r="F49" s="17" t="s">
        <v>136</v>
      </c>
      <c r="G49" s="13" t="s">
        <v>125</v>
      </c>
      <c r="H49" s="17">
        <v>77.8</v>
      </c>
      <c r="I49" s="15">
        <v>116.16</v>
      </c>
      <c r="J49" s="15">
        <f t="shared" si="5"/>
        <v>9037.2479999999996</v>
      </c>
      <c r="K49" s="6">
        <f t="shared" si="6"/>
        <v>698435.87699999998</v>
      </c>
      <c r="L49" s="6">
        <f t="shared" si="7"/>
        <v>0.56503719099383731</v>
      </c>
      <c r="M49" s="6"/>
      <c r="N49" s="6"/>
      <c r="O49" s="6"/>
      <c r="P49" s="6" t="s">
        <v>78</v>
      </c>
    </row>
    <row r="50" spans="1:16" ht="15.6" x14ac:dyDescent="0.3">
      <c r="A50" s="8" t="s">
        <v>123</v>
      </c>
      <c r="B50" s="9">
        <f>VLOOKUP(A50, 'Compound Classes'!$A$6:$C$23, 3, FALSE)</f>
        <v>45.153173982523548</v>
      </c>
      <c r="C50" s="6">
        <v>43.668409457104339</v>
      </c>
      <c r="D50" s="8" t="s">
        <v>40</v>
      </c>
      <c r="E50" s="8">
        <f t="shared" si="4"/>
        <v>1</v>
      </c>
      <c r="F50" s="24" t="s">
        <v>137</v>
      </c>
      <c r="G50" s="13" t="s">
        <v>125</v>
      </c>
      <c r="H50" s="17">
        <v>62.8</v>
      </c>
      <c r="I50" s="15">
        <v>144.21</v>
      </c>
      <c r="J50" s="15">
        <f t="shared" si="5"/>
        <v>9056.3880000000008</v>
      </c>
      <c r="K50" s="6">
        <f t="shared" si="6"/>
        <v>698435.87699999998</v>
      </c>
      <c r="L50" s="6">
        <f t="shared" si="7"/>
        <v>0.56623388403973163</v>
      </c>
      <c r="M50" s="6"/>
      <c r="N50" s="6">
        <v>0.91</v>
      </c>
      <c r="O50" s="6">
        <v>0.56530000000000002</v>
      </c>
      <c r="P50" s="6"/>
    </row>
    <row r="51" spans="1:16" ht="15" customHeight="1" x14ac:dyDescent="0.3">
      <c r="A51" s="8" t="s">
        <v>123</v>
      </c>
      <c r="B51" s="9">
        <f>VLOOKUP(A51, 'Compound Classes'!$A$6:$C$23, 3, FALSE)</f>
        <v>45.153173982523548</v>
      </c>
      <c r="C51" s="6">
        <v>43.668409457104339</v>
      </c>
      <c r="D51" s="8" t="s">
        <v>40</v>
      </c>
      <c r="E51" s="8">
        <f t="shared" si="4"/>
        <v>1</v>
      </c>
      <c r="F51" s="24" t="s">
        <v>138</v>
      </c>
      <c r="G51" s="13" t="s">
        <v>125</v>
      </c>
      <c r="H51" s="17">
        <v>75.8</v>
      </c>
      <c r="I51" s="15">
        <v>102.13</v>
      </c>
      <c r="J51" s="15">
        <f t="shared" si="5"/>
        <v>7741.4539999999997</v>
      </c>
      <c r="K51" s="6">
        <f t="shared" si="6"/>
        <v>698435.87699999998</v>
      </c>
      <c r="L51" s="6">
        <f t="shared" si="7"/>
        <v>0.48402007141643189</v>
      </c>
      <c r="M51" s="6"/>
      <c r="N51" s="6"/>
      <c r="O51" s="6">
        <v>0.49049999999999999</v>
      </c>
      <c r="P51" s="6"/>
    </row>
    <row r="52" spans="1:16" ht="15" customHeight="1" x14ac:dyDescent="0.3">
      <c r="A52" s="8" t="s">
        <v>123</v>
      </c>
      <c r="B52" s="9">
        <f>VLOOKUP(A52, 'Compound Classes'!$A$6:$C$23, 3, FALSE)</f>
        <v>45.153173982523548</v>
      </c>
      <c r="C52" s="6">
        <v>43.668409457104339</v>
      </c>
      <c r="D52" s="8" t="s">
        <v>40</v>
      </c>
      <c r="E52" s="8">
        <f t="shared" si="4"/>
        <v>1</v>
      </c>
      <c r="F52" s="24" t="s">
        <v>139</v>
      </c>
      <c r="G52" s="13" t="s">
        <v>125</v>
      </c>
      <c r="H52" s="17">
        <v>53.4</v>
      </c>
      <c r="I52" s="15">
        <v>172.26</v>
      </c>
      <c r="J52" s="15">
        <f t="shared" si="5"/>
        <v>9198.6839999999993</v>
      </c>
      <c r="K52" s="6">
        <f t="shared" si="6"/>
        <v>698435.87699999998</v>
      </c>
      <c r="L52" s="6">
        <f t="shared" si="7"/>
        <v>0.57513067785679395</v>
      </c>
      <c r="M52" s="6"/>
      <c r="N52" s="6"/>
      <c r="O52" s="6">
        <v>0.56540000000000001</v>
      </c>
    </row>
    <row r="53" spans="1:16" ht="15" customHeight="1" x14ac:dyDescent="0.3">
      <c r="A53" s="8" t="s">
        <v>123</v>
      </c>
      <c r="B53" s="9">
        <f>VLOOKUP(A53, 'Compound Classes'!$A$6:$C$23, 3, FALSE)</f>
        <v>45.153173982523548</v>
      </c>
      <c r="C53" s="6">
        <v>43.668409457104339</v>
      </c>
      <c r="D53" s="8" t="s">
        <v>40</v>
      </c>
      <c r="E53" s="8">
        <f t="shared" si="4"/>
        <v>1</v>
      </c>
      <c r="F53" s="24" t="s">
        <v>140</v>
      </c>
      <c r="G53" s="13" t="s">
        <v>125</v>
      </c>
      <c r="H53" s="17">
        <v>82.6</v>
      </c>
      <c r="I53" s="15">
        <v>116.16</v>
      </c>
      <c r="J53" s="15">
        <f t="shared" si="5"/>
        <v>9594.8159999999989</v>
      </c>
      <c r="K53" s="6">
        <f t="shared" si="6"/>
        <v>698435.87699999998</v>
      </c>
      <c r="L53" s="6">
        <f t="shared" si="7"/>
        <v>0.59989809737906119</v>
      </c>
      <c r="M53" s="6"/>
      <c r="N53" s="6"/>
      <c r="O53" s="6">
        <v>0.6089</v>
      </c>
      <c r="P53" s="6"/>
    </row>
    <row r="54" spans="1:16" ht="15.6" hidden="1" x14ac:dyDescent="0.3">
      <c r="A54" s="8" t="s">
        <v>123</v>
      </c>
      <c r="B54" s="9">
        <f>VLOOKUP(A54, 'Compound Classes'!$A$6:$C$23, 3, FALSE)</f>
        <v>45.153173982523548</v>
      </c>
      <c r="C54" s="6">
        <v>43.668409457104339</v>
      </c>
      <c r="D54" s="8" t="s">
        <v>40</v>
      </c>
      <c r="E54" s="8">
        <f t="shared" si="4"/>
        <v>1</v>
      </c>
      <c r="F54" s="24" t="s">
        <v>141</v>
      </c>
      <c r="G54" s="13" t="s">
        <v>125</v>
      </c>
      <c r="H54" s="17">
        <v>74.3</v>
      </c>
      <c r="I54" s="15">
        <v>130.18</v>
      </c>
      <c r="J54" s="15">
        <f t="shared" si="5"/>
        <v>9672.3739999999998</v>
      </c>
      <c r="K54" s="6">
        <f t="shared" si="6"/>
        <v>698435.87699999998</v>
      </c>
      <c r="L54" s="6">
        <f t="shared" si="7"/>
        <v>0.60474726766398645</v>
      </c>
      <c r="M54" s="6"/>
      <c r="N54" s="6"/>
      <c r="O54" s="6"/>
      <c r="P54" t="s">
        <v>78</v>
      </c>
    </row>
    <row r="55" spans="1:16" ht="15" customHeight="1" x14ac:dyDescent="0.3">
      <c r="A55" s="8" t="s">
        <v>123</v>
      </c>
      <c r="B55" s="9">
        <f>VLOOKUP(A55, 'Compound Classes'!$A$6:$C$23, 3, FALSE)</f>
        <v>45.153173982523548</v>
      </c>
      <c r="C55" s="6">
        <v>43.668409457104339</v>
      </c>
      <c r="D55" s="8" t="s">
        <v>40</v>
      </c>
      <c r="E55" s="8">
        <f t="shared" si="4"/>
        <v>1</v>
      </c>
      <c r="F55" s="24" t="s">
        <v>142</v>
      </c>
      <c r="G55" s="13" t="s">
        <v>125</v>
      </c>
      <c r="H55" s="17">
        <v>67.099999999999994</v>
      </c>
      <c r="I55" s="15">
        <v>144.21</v>
      </c>
      <c r="J55" s="15">
        <f t="shared" si="5"/>
        <v>9676.491</v>
      </c>
      <c r="K55" s="6">
        <f t="shared" si="6"/>
        <v>698435.87699999998</v>
      </c>
      <c r="L55" s="6">
        <f t="shared" si="7"/>
        <v>0.60500467546283432</v>
      </c>
      <c r="M55" s="6"/>
      <c r="N55" s="6">
        <v>0.91</v>
      </c>
      <c r="O55" s="6">
        <v>0.61080000000000001</v>
      </c>
      <c r="P55" s="6"/>
    </row>
    <row r="56" spans="1:16" ht="15" hidden="1" customHeight="1" x14ac:dyDescent="0.3">
      <c r="A56" s="8" t="s">
        <v>123</v>
      </c>
      <c r="B56" s="9">
        <f>VLOOKUP(A56, 'Compound Classes'!$A$6:$C$23, 3, FALSE)</f>
        <v>45.153173982523548</v>
      </c>
      <c r="C56" s="6">
        <v>43.668409457104339</v>
      </c>
      <c r="D56" s="8" t="s">
        <v>40</v>
      </c>
      <c r="E56" s="8">
        <f t="shared" si="4"/>
        <v>1</v>
      </c>
      <c r="F56" s="24" t="s">
        <v>143</v>
      </c>
      <c r="G56" s="13" t="s">
        <v>125</v>
      </c>
      <c r="H56" s="17">
        <v>59.6</v>
      </c>
      <c r="I56" s="15">
        <v>172.26</v>
      </c>
      <c r="J56" s="15">
        <f t="shared" si="5"/>
        <v>10266.696</v>
      </c>
      <c r="K56" s="6">
        <f t="shared" si="6"/>
        <v>698435.87699999998</v>
      </c>
      <c r="L56" s="6">
        <f t="shared" si="7"/>
        <v>0.64190614981769512</v>
      </c>
      <c r="M56" s="6"/>
      <c r="N56" s="6"/>
      <c r="O56" s="6"/>
      <c r="P56" t="s">
        <v>78</v>
      </c>
    </row>
    <row r="57" spans="1:16" ht="15.6" hidden="1" x14ac:dyDescent="0.3">
      <c r="A57" s="8" t="s">
        <v>123</v>
      </c>
      <c r="B57" s="9">
        <f>VLOOKUP(A57, 'Compound Classes'!$A$6:$C$23, 3, FALSE)</f>
        <v>45.153173982523548</v>
      </c>
      <c r="C57" s="6">
        <v>43.668409457104339</v>
      </c>
      <c r="D57" s="8" t="s">
        <v>40</v>
      </c>
      <c r="E57" s="8">
        <f t="shared" si="4"/>
        <v>1</v>
      </c>
      <c r="F57" s="24" t="s">
        <v>144</v>
      </c>
      <c r="G57" s="13" t="s">
        <v>125</v>
      </c>
      <c r="H57" s="17">
        <v>71.5</v>
      </c>
      <c r="I57" s="15">
        <v>144.21</v>
      </c>
      <c r="J57" s="15">
        <f t="shared" si="5"/>
        <v>10311.015000000001</v>
      </c>
      <c r="K57" s="6">
        <f t="shared" si="6"/>
        <v>698435.87699999998</v>
      </c>
      <c r="L57" s="6">
        <f t="shared" si="7"/>
        <v>0.64467711319810217</v>
      </c>
      <c r="M57" s="6"/>
      <c r="N57" s="6"/>
      <c r="O57" s="6"/>
      <c r="P57" t="s">
        <v>78</v>
      </c>
    </row>
    <row r="58" spans="1:16" ht="15" hidden="1" customHeight="1" x14ac:dyDescent="0.3">
      <c r="A58" s="8" t="s">
        <v>123</v>
      </c>
      <c r="B58" s="9">
        <f>VLOOKUP(A58, 'Compound Classes'!$A$6:$C$23, 3, FALSE)</f>
        <v>45.153173982523548</v>
      </c>
      <c r="C58" s="6">
        <v>43.668409457104339</v>
      </c>
      <c r="D58" s="8" t="s">
        <v>40</v>
      </c>
      <c r="E58" s="8">
        <f t="shared" si="4"/>
        <v>1</v>
      </c>
      <c r="F58" s="24" t="s">
        <v>145</v>
      </c>
      <c r="G58" s="13" t="s">
        <v>125</v>
      </c>
      <c r="H58" s="17">
        <v>85.7</v>
      </c>
      <c r="I58" s="15">
        <v>130.18</v>
      </c>
      <c r="J58" s="15">
        <f t="shared" si="5"/>
        <v>11156.426000000001</v>
      </c>
      <c r="K58" s="6">
        <f t="shared" si="6"/>
        <v>698435.87699999998</v>
      </c>
      <c r="L58" s="6">
        <f t="shared" si="7"/>
        <v>0.69753486997043934</v>
      </c>
      <c r="M58" s="6"/>
      <c r="N58" s="6"/>
      <c r="O58" s="6"/>
      <c r="P58" t="s">
        <v>78</v>
      </c>
    </row>
    <row r="59" spans="1:16" ht="15.6" x14ac:dyDescent="0.3">
      <c r="A59" s="8" t="s">
        <v>123</v>
      </c>
      <c r="B59" s="9">
        <f>VLOOKUP(A59, 'Compound Classes'!$A$6:$C$23, 3, FALSE)</f>
        <v>45.153173982523548</v>
      </c>
      <c r="C59" s="6">
        <v>43.668409457104339</v>
      </c>
      <c r="D59" s="8" t="s">
        <v>40</v>
      </c>
      <c r="E59" s="8">
        <f t="shared" si="4"/>
        <v>1</v>
      </c>
      <c r="F59" s="17" t="s">
        <v>146</v>
      </c>
      <c r="G59" s="13" t="s">
        <v>125</v>
      </c>
      <c r="H59" s="17">
        <v>98.3</v>
      </c>
      <c r="I59" s="15">
        <v>116.16</v>
      </c>
      <c r="J59" s="15">
        <f t="shared" si="5"/>
        <v>11418.527999999998</v>
      </c>
      <c r="K59" s="6">
        <f t="shared" si="6"/>
        <v>698435.87699999998</v>
      </c>
      <c r="L59" s="6">
        <f t="shared" si="7"/>
        <v>0.71392231201406431</v>
      </c>
      <c r="M59" s="6"/>
      <c r="N59" s="6">
        <v>0.92</v>
      </c>
      <c r="O59" s="6">
        <v>0.72440000000000004</v>
      </c>
      <c r="P59" s="6"/>
    </row>
    <row r="60" spans="1:16" ht="15" hidden="1" customHeight="1" x14ac:dyDescent="0.3">
      <c r="A60" s="8" t="s">
        <v>123</v>
      </c>
      <c r="B60" s="9">
        <f>VLOOKUP(A60, 'Compound Classes'!$A$6:$C$23, 3, FALSE)</f>
        <v>45.153173982523548</v>
      </c>
      <c r="C60" s="6">
        <v>43.668409457104339</v>
      </c>
      <c r="D60" s="8" t="s">
        <v>40</v>
      </c>
      <c r="E60" s="8">
        <f t="shared" si="4"/>
        <v>1</v>
      </c>
      <c r="F60" s="17" t="s">
        <v>147</v>
      </c>
      <c r="G60" s="13" t="s">
        <v>125</v>
      </c>
      <c r="H60" s="17">
        <v>92.1</v>
      </c>
      <c r="I60" s="15">
        <v>130.18</v>
      </c>
      <c r="J60" s="15">
        <f t="shared" si="5"/>
        <v>11989.578</v>
      </c>
      <c r="K60" s="6">
        <f t="shared" si="6"/>
        <v>698435.87699999998</v>
      </c>
      <c r="L60" s="6">
        <f t="shared" si="7"/>
        <v>0.74962615547581624</v>
      </c>
      <c r="M60" s="6"/>
      <c r="N60" s="6"/>
      <c r="O60" s="6"/>
      <c r="P60" t="s">
        <v>78</v>
      </c>
    </row>
    <row r="61" spans="1:16" ht="15" customHeight="1" x14ac:dyDescent="0.3">
      <c r="A61" s="8" t="s">
        <v>123</v>
      </c>
      <c r="B61" s="9">
        <f>VLOOKUP(A61, 'Compound Classes'!$A$6:$C$23, 3, FALSE)</f>
        <v>45.153173982523548</v>
      </c>
      <c r="C61" s="6">
        <v>43.668409457104339</v>
      </c>
      <c r="D61" s="8" t="s">
        <v>40</v>
      </c>
      <c r="E61" s="8">
        <f t="shared" si="4"/>
        <v>1</v>
      </c>
      <c r="F61" s="24" t="s">
        <v>148</v>
      </c>
      <c r="G61" s="13" t="s">
        <v>125</v>
      </c>
      <c r="H61" s="17">
        <v>141.1</v>
      </c>
      <c r="I61" s="15">
        <v>88.11</v>
      </c>
      <c r="J61" s="15">
        <f t="shared" si="5"/>
        <v>12432.321</v>
      </c>
      <c r="K61" s="6">
        <f t="shared" si="6"/>
        <v>698435.87699999998</v>
      </c>
      <c r="L61" s="6">
        <f t="shared" si="7"/>
        <v>0.77730784143288922</v>
      </c>
      <c r="M61" s="6"/>
      <c r="N61" s="6">
        <v>0.95799999999999996</v>
      </c>
      <c r="O61" s="6">
        <v>0.7732</v>
      </c>
      <c r="P61" t="s">
        <v>49</v>
      </c>
    </row>
    <row r="62" spans="1:16" ht="15" customHeight="1" x14ac:dyDescent="0.3">
      <c r="A62" s="8" t="s">
        <v>123</v>
      </c>
      <c r="B62" s="9">
        <f>VLOOKUP(A62, 'Compound Classes'!$A$6:$C$23, 3, FALSE)</f>
        <v>45.153173982523548</v>
      </c>
      <c r="C62" s="6">
        <v>43.668409457104339</v>
      </c>
      <c r="D62" s="8" t="s">
        <v>40</v>
      </c>
      <c r="E62" s="8">
        <f t="shared" si="4"/>
        <v>1</v>
      </c>
      <c r="F62" s="17" t="s">
        <v>149</v>
      </c>
      <c r="G62" s="7" t="s">
        <v>125</v>
      </c>
      <c r="H62" s="17">
        <v>99.7</v>
      </c>
      <c r="I62" s="15">
        <v>130.18</v>
      </c>
      <c r="J62" s="15">
        <f t="shared" si="5"/>
        <v>12978.946000000002</v>
      </c>
      <c r="K62" s="6">
        <f t="shared" si="6"/>
        <v>698435.87699999998</v>
      </c>
      <c r="L62" s="6">
        <f t="shared" si="7"/>
        <v>0.81148455701345179</v>
      </c>
      <c r="M62" s="6"/>
      <c r="N62" s="6">
        <v>0.92</v>
      </c>
      <c r="O62" s="6">
        <v>0.81359999999999999</v>
      </c>
      <c r="P62" s="6"/>
    </row>
    <row r="63" spans="1:16" ht="15" hidden="1" customHeight="1" x14ac:dyDescent="0.3">
      <c r="A63" s="8" t="s">
        <v>123</v>
      </c>
      <c r="B63" s="9">
        <f>VLOOKUP(A63, 'Compound Classes'!$A$6:$C$23, 3, FALSE)</f>
        <v>45.153173982523548</v>
      </c>
      <c r="C63" s="6">
        <v>43.668409457104339</v>
      </c>
      <c r="D63" s="8" t="s">
        <v>40</v>
      </c>
      <c r="E63" s="8">
        <f t="shared" si="4"/>
        <v>1</v>
      </c>
      <c r="F63" s="17" t="s">
        <v>150</v>
      </c>
      <c r="G63" s="7" t="s">
        <v>125</v>
      </c>
      <c r="H63" s="17">
        <v>115.3</v>
      </c>
      <c r="I63" s="15">
        <v>116.16</v>
      </c>
      <c r="J63" s="15">
        <f t="shared" si="5"/>
        <v>13393.248</v>
      </c>
      <c r="K63" s="6">
        <f t="shared" si="6"/>
        <v>698435.87699999998</v>
      </c>
      <c r="L63" s="6">
        <f t="shared" si="7"/>
        <v>0.83738802212839891</v>
      </c>
      <c r="M63" s="6"/>
      <c r="N63" s="6"/>
      <c r="O63" s="6"/>
      <c r="P63" t="s">
        <v>78</v>
      </c>
    </row>
    <row r="64" spans="1:16" ht="15" hidden="1" customHeight="1" x14ac:dyDescent="0.3">
      <c r="A64" s="8" t="s">
        <v>123</v>
      </c>
      <c r="B64" s="9">
        <f>VLOOKUP(A64, 'Compound Classes'!$A$6:$C$23, 3, FALSE)</f>
        <v>45.153173982523548</v>
      </c>
      <c r="C64" s="6">
        <v>43.668409457104339</v>
      </c>
      <c r="D64" s="8" t="s">
        <v>40</v>
      </c>
      <c r="E64" s="8">
        <f t="shared" si="4"/>
        <v>1</v>
      </c>
      <c r="F64" s="17" t="s">
        <v>151</v>
      </c>
      <c r="G64" s="7" t="s">
        <v>125</v>
      </c>
      <c r="H64" s="17">
        <v>107.5</v>
      </c>
      <c r="I64" s="15">
        <v>130.18</v>
      </c>
      <c r="J64" s="15">
        <f t="shared" si="5"/>
        <v>13994.35</v>
      </c>
      <c r="K64" s="6">
        <f t="shared" si="6"/>
        <v>698435.87699999998</v>
      </c>
      <c r="L64" s="6">
        <f t="shared" si="7"/>
        <v>0.87497081122312992</v>
      </c>
      <c r="M64" s="6"/>
      <c r="N64" s="6"/>
      <c r="O64" s="6"/>
      <c r="P64" t="s">
        <v>78</v>
      </c>
    </row>
    <row r="65" spans="1:16" ht="15" customHeight="1" x14ac:dyDescent="0.3">
      <c r="A65" s="8" t="s">
        <v>123</v>
      </c>
      <c r="B65" s="9">
        <f>VLOOKUP(A65, 'Compound Classes'!$A$6:$C$23, 3, FALSE)</f>
        <v>45.153173982523548</v>
      </c>
      <c r="C65" s="6">
        <v>43.668409457104339</v>
      </c>
      <c r="D65" s="8" t="s">
        <v>40</v>
      </c>
      <c r="E65" s="8">
        <f t="shared" si="4"/>
        <v>1</v>
      </c>
      <c r="F65" s="17" t="s">
        <v>152</v>
      </c>
      <c r="G65" s="7" t="s">
        <v>125</v>
      </c>
      <c r="H65" s="17">
        <v>123.9</v>
      </c>
      <c r="I65" s="15">
        <v>113.16</v>
      </c>
      <c r="J65" s="15">
        <f t="shared" si="5"/>
        <v>14020.523999999999</v>
      </c>
      <c r="K65" s="6">
        <f t="shared" si="6"/>
        <v>698435.87699999998</v>
      </c>
      <c r="L65" s="6">
        <f t="shared" si="7"/>
        <v>0.87660729208954768</v>
      </c>
      <c r="M65" s="6"/>
      <c r="N65" s="6"/>
      <c r="O65" s="6">
        <v>0.89490000000000003</v>
      </c>
      <c r="P65" s="6"/>
    </row>
    <row r="66" spans="1:16" ht="15" hidden="1" customHeight="1" x14ac:dyDescent="0.3">
      <c r="A66" s="8" t="s">
        <v>123</v>
      </c>
      <c r="B66" s="9">
        <f>VLOOKUP(A66, 'Compound Classes'!$A$6:$C$23, 3, FALSE)</f>
        <v>45.153173982523548</v>
      </c>
      <c r="C66" s="6">
        <v>43.668409457104339</v>
      </c>
      <c r="D66" s="8" t="s">
        <v>40</v>
      </c>
      <c r="E66" s="8">
        <f t="shared" ref="E66:E97" si="8">IF(D66="yes",1,0)</f>
        <v>1</v>
      </c>
      <c r="F66" s="17" t="s">
        <v>153</v>
      </c>
      <c r="G66" s="7" t="s">
        <v>125</v>
      </c>
      <c r="H66" s="17">
        <v>98.1</v>
      </c>
      <c r="I66" s="15">
        <v>144.21</v>
      </c>
      <c r="J66" s="15">
        <f t="shared" si="5"/>
        <v>14147.001</v>
      </c>
      <c r="K66" s="6">
        <f t="shared" si="6"/>
        <v>698435.87699999998</v>
      </c>
      <c r="L66" s="6">
        <f t="shared" si="7"/>
        <v>0.88451503223403927</v>
      </c>
      <c r="M66" s="6"/>
      <c r="N66" s="6"/>
      <c r="O66" s="6"/>
      <c r="P66" t="s">
        <v>78</v>
      </c>
    </row>
    <row r="67" spans="1:16" ht="15" hidden="1" customHeight="1" x14ac:dyDescent="0.3">
      <c r="A67" s="8" t="s">
        <v>123</v>
      </c>
      <c r="B67" s="9">
        <f>VLOOKUP(A67, 'Compound Classes'!$A$6:$C$23, 3, FALSE)</f>
        <v>45.153173982523548</v>
      </c>
      <c r="C67" s="6">
        <v>43.668409457104339</v>
      </c>
      <c r="D67" s="8" t="s">
        <v>40</v>
      </c>
      <c r="E67" s="8">
        <f t="shared" si="8"/>
        <v>1</v>
      </c>
      <c r="F67" s="17" t="s">
        <v>154</v>
      </c>
      <c r="G67" s="7" t="s">
        <v>125</v>
      </c>
      <c r="H67" s="17">
        <v>93.4</v>
      </c>
      <c r="I67" s="15">
        <v>158.24</v>
      </c>
      <c r="J67" s="15">
        <f t="shared" ref="J67:J98" si="9">H67*I67</f>
        <v>14779.616000000002</v>
      </c>
      <c r="K67" s="6">
        <f t="shared" si="6"/>
        <v>698435.87699999998</v>
      </c>
      <c r="L67" s="6">
        <f t="shared" si="7"/>
        <v>0.92406811328045613</v>
      </c>
      <c r="M67" s="6"/>
      <c r="N67" s="6"/>
      <c r="O67" s="6"/>
      <c r="P67" t="s">
        <v>78</v>
      </c>
    </row>
    <row r="68" spans="1:16" ht="15" customHeight="1" x14ac:dyDescent="0.3">
      <c r="A68" s="8" t="s">
        <v>123</v>
      </c>
      <c r="B68" s="9">
        <f>VLOOKUP(A68, 'Compound Classes'!$A$6:$C$23, 3, FALSE)</f>
        <v>45.153173982523548</v>
      </c>
      <c r="C68" s="6">
        <v>43.668409457104339</v>
      </c>
      <c r="D68" s="8" t="s">
        <v>40</v>
      </c>
      <c r="E68" s="8">
        <f t="shared" si="8"/>
        <v>1</v>
      </c>
      <c r="F68" s="24" t="s">
        <v>155</v>
      </c>
      <c r="G68" s="7" t="s">
        <v>125</v>
      </c>
      <c r="H68" s="17">
        <v>106.7</v>
      </c>
      <c r="I68" s="15">
        <v>144.21</v>
      </c>
      <c r="J68" s="15">
        <f t="shared" si="9"/>
        <v>15387.207000000002</v>
      </c>
      <c r="K68" s="6">
        <f t="shared" ref="K68:K99" si="10">SUMIFS(J$2:J$116,A$2:A$116,A68,D$2:D$116,"=yes")</f>
        <v>698435.87699999998</v>
      </c>
      <c r="L68" s="6">
        <f t="shared" si="7"/>
        <v>0.96205661508024487</v>
      </c>
      <c r="M68" s="6"/>
      <c r="N68" s="6">
        <v>0.91</v>
      </c>
      <c r="O68" s="6">
        <v>0.96750000000000003</v>
      </c>
      <c r="P68" s="6"/>
    </row>
    <row r="69" spans="1:16" ht="15.6" hidden="1" x14ac:dyDescent="0.3">
      <c r="A69" s="8" t="s">
        <v>123</v>
      </c>
      <c r="B69" s="9">
        <f>VLOOKUP(A69, 'Compound Classes'!$A$6:$C$23, 3, FALSE)</f>
        <v>45.153173982523548</v>
      </c>
      <c r="C69" s="6">
        <v>43.668409457104339</v>
      </c>
      <c r="D69" s="8" t="s">
        <v>40</v>
      </c>
      <c r="E69" s="8">
        <f t="shared" si="8"/>
        <v>1</v>
      </c>
      <c r="F69" s="17" t="s">
        <v>156</v>
      </c>
      <c r="G69" s="7" t="s">
        <v>125</v>
      </c>
      <c r="H69" s="17">
        <v>97.5</v>
      </c>
      <c r="I69" s="15">
        <v>158.24</v>
      </c>
      <c r="J69" s="15">
        <f t="shared" si="9"/>
        <v>15428.400000000001</v>
      </c>
      <c r="K69" s="6">
        <f t="shared" si="10"/>
        <v>698435.87699999998</v>
      </c>
      <c r="L69" s="6">
        <f t="shared" si="7"/>
        <v>0.96463213110111845</v>
      </c>
      <c r="M69" s="6"/>
      <c r="N69" s="6"/>
      <c r="O69" s="6"/>
      <c r="P69" t="s">
        <v>78</v>
      </c>
    </row>
    <row r="70" spans="1:16" ht="15" hidden="1" customHeight="1" x14ac:dyDescent="0.3">
      <c r="A70" s="8" t="s">
        <v>123</v>
      </c>
      <c r="B70" s="9">
        <f>VLOOKUP(A70, 'Compound Classes'!$A$6:$C$23, 3, FALSE)</f>
        <v>45.153173982523548</v>
      </c>
      <c r="C70" s="6">
        <v>43.668409457104339</v>
      </c>
      <c r="D70" s="8" t="s">
        <v>40</v>
      </c>
      <c r="E70" s="8">
        <f t="shared" si="8"/>
        <v>1</v>
      </c>
      <c r="F70" s="17" t="s">
        <v>157</v>
      </c>
      <c r="G70" s="7" t="s">
        <v>125</v>
      </c>
      <c r="H70" s="17">
        <v>109.8</v>
      </c>
      <c r="I70" s="15">
        <v>144.21</v>
      </c>
      <c r="J70" s="15">
        <f t="shared" si="9"/>
        <v>15834.258</v>
      </c>
      <c r="K70" s="6">
        <f t="shared" si="10"/>
        <v>698435.87699999998</v>
      </c>
      <c r="L70" s="6">
        <f t="shared" ref="L70:L101" si="11">J70*E70/K70*C70</f>
        <v>0.99000765075736519</v>
      </c>
      <c r="M70" s="6"/>
      <c r="N70" s="6"/>
      <c r="O70" s="6"/>
      <c r="P70" t="s">
        <v>78</v>
      </c>
    </row>
    <row r="71" spans="1:16" ht="15.6" x14ac:dyDescent="0.3">
      <c r="A71" s="8" t="s">
        <v>123</v>
      </c>
      <c r="B71" s="9">
        <f>VLOOKUP(A71, 'Compound Classes'!$A$6:$C$23, 3, FALSE)</f>
        <v>45.153173982523548</v>
      </c>
      <c r="C71" s="6">
        <v>43.668409457104339</v>
      </c>
      <c r="D71" s="8" t="s">
        <v>40</v>
      </c>
      <c r="E71" s="8">
        <f t="shared" si="8"/>
        <v>1</v>
      </c>
      <c r="F71" s="17" t="s">
        <v>158</v>
      </c>
      <c r="G71" s="7" t="s">
        <v>125</v>
      </c>
      <c r="H71" s="17">
        <v>100.3</v>
      </c>
      <c r="I71" s="15">
        <v>158.24</v>
      </c>
      <c r="J71" s="15">
        <f t="shared" si="9"/>
        <v>15871.472</v>
      </c>
      <c r="K71" s="6">
        <f t="shared" si="10"/>
        <v>698435.87699999998</v>
      </c>
      <c r="L71" s="6">
        <f t="shared" si="11"/>
        <v>0.99233438717376588</v>
      </c>
      <c r="M71" s="6"/>
      <c r="N71" s="6">
        <v>0.91</v>
      </c>
      <c r="O71" s="6">
        <v>0.99399999999999999</v>
      </c>
      <c r="P71" s="6"/>
    </row>
    <row r="72" spans="1:16" ht="15" customHeight="1" x14ac:dyDescent="0.3">
      <c r="A72" s="8" t="s">
        <v>123</v>
      </c>
      <c r="B72" s="9">
        <f>VLOOKUP(A72, 'Compound Classes'!$A$6:$C$23, 3, FALSE)</f>
        <v>45.153173982523548</v>
      </c>
      <c r="C72" s="6">
        <v>43.668409457104339</v>
      </c>
      <c r="D72" s="8" t="s">
        <v>40</v>
      </c>
      <c r="E72" s="8">
        <f t="shared" si="8"/>
        <v>1</v>
      </c>
      <c r="F72" s="24" t="s">
        <v>159</v>
      </c>
      <c r="G72" s="7" t="s">
        <v>125</v>
      </c>
      <c r="H72" s="17">
        <v>137.1</v>
      </c>
      <c r="I72" s="15">
        <v>122.12</v>
      </c>
      <c r="J72" s="15">
        <f t="shared" si="9"/>
        <v>16742.651999999998</v>
      </c>
      <c r="K72" s="6">
        <f t="shared" si="10"/>
        <v>698435.87699999998</v>
      </c>
      <c r="L72" s="6">
        <f t="shared" si="11"/>
        <v>1.0468033029377253</v>
      </c>
      <c r="M72" s="6"/>
      <c r="N72" s="6"/>
      <c r="O72" s="6">
        <v>1.0661</v>
      </c>
      <c r="P72" s="6"/>
    </row>
    <row r="73" spans="1:16" ht="15.6" x14ac:dyDescent="0.3">
      <c r="A73" s="8" t="s">
        <v>123</v>
      </c>
      <c r="B73" s="9">
        <f>VLOOKUP(A73, 'Compound Classes'!$A$6:$C$23, 3, FALSE)</f>
        <v>45.153173982523548</v>
      </c>
      <c r="C73" s="6">
        <v>43.668409457104339</v>
      </c>
      <c r="D73" s="8" t="s">
        <v>40</v>
      </c>
      <c r="E73" s="8">
        <f t="shared" si="8"/>
        <v>1</v>
      </c>
      <c r="F73" s="24" t="s">
        <v>160</v>
      </c>
      <c r="G73" s="7" t="s">
        <v>125</v>
      </c>
      <c r="H73" s="17">
        <v>226.6</v>
      </c>
      <c r="I73" s="15">
        <v>74.08</v>
      </c>
      <c r="J73" s="15">
        <f t="shared" si="9"/>
        <v>16786.527999999998</v>
      </c>
      <c r="K73" s="6">
        <f t="shared" si="10"/>
        <v>698435.87699999998</v>
      </c>
      <c r="L73" s="6">
        <f t="shared" si="11"/>
        <v>1.0495465685637262</v>
      </c>
      <c r="M73" s="6"/>
      <c r="N73" s="6">
        <v>0.99299999999999999</v>
      </c>
      <c r="O73">
        <v>1.0468</v>
      </c>
      <c r="P73" s="6"/>
    </row>
    <row r="74" spans="1:16" ht="15.6" hidden="1" x14ac:dyDescent="0.3">
      <c r="A74" s="8" t="s">
        <v>123</v>
      </c>
      <c r="B74" s="9">
        <f>VLOOKUP(A74, 'Compound Classes'!$A$6:$C$23, 3, FALSE)</f>
        <v>45.153173982523548</v>
      </c>
      <c r="C74" s="6">
        <v>43.668409457104339</v>
      </c>
      <c r="D74" s="8" t="s">
        <v>40</v>
      </c>
      <c r="E74" s="8">
        <f t="shared" si="8"/>
        <v>1</v>
      </c>
      <c r="F74" s="17" t="s">
        <v>161</v>
      </c>
      <c r="G74" s="7" t="s">
        <v>125</v>
      </c>
      <c r="H74" s="17">
        <v>132.4</v>
      </c>
      <c r="I74" s="15">
        <v>130.18</v>
      </c>
      <c r="J74" s="15">
        <f t="shared" si="9"/>
        <v>17235.832000000002</v>
      </c>
      <c r="K74" s="6">
        <f t="shared" si="10"/>
        <v>698435.87699999998</v>
      </c>
      <c r="L74" s="6">
        <f t="shared" si="11"/>
        <v>1.0776384688924874</v>
      </c>
      <c r="M74" s="6"/>
      <c r="N74" s="6"/>
      <c r="O74" s="6"/>
      <c r="P74" t="s">
        <v>78</v>
      </c>
    </row>
    <row r="75" spans="1:16" ht="15" hidden="1" customHeight="1" x14ac:dyDescent="0.3">
      <c r="A75" s="8" t="s">
        <v>123</v>
      </c>
      <c r="B75" s="9">
        <f>VLOOKUP(A75, 'Compound Classes'!$A$6:$C$23, 3, FALSE)</f>
        <v>45.153173982523548</v>
      </c>
      <c r="C75" s="6">
        <v>43.668409457104339</v>
      </c>
      <c r="D75" s="8" t="s">
        <v>40</v>
      </c>
      <c r="E75" s="8">
        <f t="shared" si="8"/>
        <v>1</v>
      </c>
      <c r="F75" s="17" t="s">
        <v>162</v>
      </c>
      <c r="G75" s="7" t="s">
        <v>125</v>
      </c>
      <c r="H75" s="17">
        <v>111</v>
      </c>
      <c r="I75" s="15">
        <v>158.24</v>
      </c>
      <c r="J75" s="15">
        <f t="shared" si="9"/>
        <v>17564.64</v>
      </c>
      <c r="K75" s="6">
        <f t="shared" si="10"/>
        <v>698435.87699999998</v>
      </c>
      <c r="L75" s="6">
        <f t="shared" si="11"/>
        <v>1.0981965800228117</v>
      </c>
      <c r="M75" s="6"/>
      <c r="N75" s="6"/>
      <c r="O75" s="6"/>
      <c r="P75" t="s">
        <v>78</v>
      </c>
    </row>
    <row r="76" spans="1:16" ht="15.6" x14ac:dyDescent="0.3">
      <c r="A76" s="8" t="s">
        <v>123</v>
      </c>
      <c r="B76" s="9">
        <f>VLOOKUP(A76, 'Compound Classes'!$A$6:$C$23, 3, FALSE)</f>
        <v>45.153173982523548</v>
      </c>
      <c r="C76" s="6">
        <v>43.668409457104339</v>
      </c>
      <c r="D76" s="8" t="s">
        <v>40</v>
      </c>
      <c r="E76" s="8">
        <f t="shared" si="8"/>
        <v>1</v>
      </c>
      <c r="F76" s="17" t="s">
        <v>163</v>
      </c>
      <c r="G76" s="7" t="s">
        <v>125</v>
      </c>
      <c r="H76" s="17">
        <v>127.4</v>
      </c>
      <c r="I76" s="15">
        <v>144.21</v>
      </c>
      <c r="J76" s="15">
        <f t="shared" si="9"/>
        <v>18372.354000000003</v>
      </c>
      <c r="K76" s="6">
        <f t="shared" si="10"/>
        <v>698435.87699999998</v>
      </c>
      <c r="L76" s="6">
        <f t="shared" si="11"/>
        <v>1.1486974016984366</v>
      </c>
      <c r="M76" s="6"/>
      <c r="N76" s="6">
        <v>0.91</v>
      </c>
      <c r="O76" s="6">
        <v>1.1493</v>
      </c>
      <c r="P76" s="6"/>
    </row>
    <row r="77" spans="1:16" ht="15" customHeight="1" x14ac:dyDescent="0.3">
      <c r="A77" s="8" t="s">
        <v>123</v>
      </c>
      <c r="B77" s="9">
        <f>VLOOKUP(A77, 'Compound Classes'!$A$6:$C$23, 3, FALSE)</f>
        <v>45.153173982523548</v>
      </c>
      <c r="C77" s="6">
        <v>43.668409457104339</v>
      </c>
      <c r="D77" s="8" t="s">
        <v>40</v>
      </c>
      <c r="E77" s="8">
        <f t="shared" si="8"/>
        <v>1</v>
      </c>
      <c r="F77" s="17" t="s">
        <v>164</v>
      </c>
      <c r="G77" s="7" t="s">
        <v>125</v>
      </c>
      <c r="H77" s="17">
        <v>185.9</v>
      </c>
      <c r="I77" s="15">
        <v>102.13</v>
      </c>
      <c r="J77" s="15">
        <f t="shared" si="9"/>
        <v>18985.967000000001</v>
      </c>
      <c r="K77" s="6">
        <f t="shared" si="10"/>
        <v>698435.87699999998</v>
      </c>
      <c r="L77" s="6">
        <f t="shared" si="11"/>
        <v>1.1870624178933336</v>
      </c>
      <c r="M77" s="6"/>
      <c r="N77" s="6">
        <v>0.93899999999999995</v>
      </c>
      <c r="O77" s="6">
        <v>1.1839</v>
      </c>
      <c r="P77" s="6"/>
    </row>
    <row r="78" spans="1:16" ht="15" hidden="1" customHeight="1" x14ac:dyDescent="0.3">
      <c r="A78" s="8" t="s">
        <v>123</v>
      </c>
      <c r="B78" s="9">
        <f>VLOOKUP(A78, 'Compound Classes'!$A$6:$C$23, 3, FALSE)</f>
        <v>45.153173982523548</v>
      </c>
      <c r="C78" s="6">
        <v>43.668409457104339</v>
      </c>
      <c r="D78" s="8" t="s">
        <v>40</v>
      </c>
      <c r="E78" s="8">
        <f t="shared" si="8"/>
        <v>1</v>
      </c>
      <c r="F78" s="17" t="s">
        <v>165</v>
      </c>
      <c r="G78" s="7" t="s">
        <v>125</v>
      </c>
      <c r="H78" s="17">
        <v>148.4</v>
      </c>
      <c r="I78" s="15">
        <v>130.18</v>
      </c>
      <c r="J78" s="15">
        <f t="shared" si="9"/>
        <v>19318.712000000003</v>
      </c>
      <c r="K78" s="6">
        <f t="shared" si="10"/>
        <v>698435.87699999998</v>
      </c>
      <c r="L78" s="6">
        <f t="shared" si="11"/>
        <v>1.2078666826559301</v>
      </c>
      <c r="M78" s="6"/>
      <c r="N78" s="6"/>
      <c r="O78" s="6"/>
      <c r="P78" t="s">
        <v>78</v>
      </c>
    </row>
    <row r="79" spans="1:16" ht="15" hidden="1" customHeight="1" x14ac:dyDescent="0.3">
      <c r="A79" s="8" t="s">
        <v>123</v>
      </c>
      <c r="B79" s="9">
        <f>VLOOKUP(A79, 'Compound Classes'!$A$6:$C$23, 3, FALSE)</f>
        <v>45.153173982523548</v>
      </c>
      <c r="C79" s="6">
        <v>43.668409457104339</v>
      </c>
      <c r="D79" s="8" t="s">
        <v>40</v>
      </c>
      <c r="E79" s="8">
        <f t="shared" si="8"/>
        <v>1</v>
      </c>
      <c r="F79" s="17" t="s">
        <v>166</v>
      </c>
      <c r="G79" s="7" t="s">
        <v>125</v>
      </c>
      <c r="H79" s="17">
        <v>136.6</v>
      </c>
      <c r="I79" s="15">
        <v>144.21</v>
      </c>
      <c r="J79" s="15">
        <f t="shared" si="9"/>
        <v>19699.085999999999</v>
      </c>
      <c r="K79" s="6">
        <f t="shared" si="10"/>
        <v>698435.87699999998</v>
      </c>
      <c r="L79" s="6">
        <f t="shared" si="11"/>
        <v>1.2316488624176327</v>
      </c>
      <c r="M79" s="6"/>
      <c r="N79" s="6"/>
      <c r="O79" s="6"/>
      <c r="P79" t="s">
        <v>78</v>
      </c>
    </row>
    <row r="80" spans="1:16" ht="15.6" x14ac:dyDescent="0.3">
      <c r="A80" s="8" t="s">
        <v>123</v>
      </c>
      <c r="B80" s="9">
        <f>VLOOKUP(A80, 'Compound Classes'!$A$6:$C$23, 3, FALSE)</f>
        <v>45.153173982523548</v>
      </c>
      <c r="C80" s="6">
        <v>43.668409457104339</v>
      </c>
      <c r="D80" s="8" t="s">
        <v>40</v>
      </c>
      <c r="E80" s="8">
        <f t="shared" si="8"/>
        <v>1</v>
      </c>
      <c r="F80" s="17" t="s">
        <v>167</v>
      </c>
      <c r="G80" s="7" t="s">
        <v>125</v>
      </c>
      <c r="H80" s="17">
        <v>140.6</v>
      </c>
      <c r="I80" s="15">
        <v>144.21</v>
      </c>
      <c r="J80" s="15">
        <f t="shared" si="9"/>
        <v>20275.925999999999</v>
      </c>
      <c r="K80" s="6">
        <f t="shared" si="10"/>
        <v>698435.87699999998</v>
      </c>
      <c r="L80" s="6">
        <f t="shared" si="11"/>
        <v>1.2677147149042398</v>
      </c>
      <c r="M80" s="6"/>
      <c r="N80" s="6">
        <v>0.91</v>
      </c>
      <c r="O80" s="6">
        <v>1.2670999999999999</v>
      </c>
      <c r="P80" s="6"/>
    </row>
    <row r="81" spans="1:16" ht="15" customHeight="1" x14ac:dyDescent="0.3">
      <c r="A81" s="8" t="s">
        <v>123</v>
      </c>
      <c r="B81" s="9">
        <f>VLOOKUP(A81, 'Compound Classes'!$A$6:$C$23, 3, FALSE)</f>
        <v>45.153173982523548</v>
      </c>
      <c r="C81" s="6">
        <v>43.668409457104339</v>
      </c>
      <c r="D81" s="8" t="s">
        <v>40</v>
      </c>
      <c r="E81" s="8">
        <f t="shared" si="8"/>
        <v>1</v>
      </c>
      <c r="F81" s="17" t="s">
        <v>168</v>
      </c>
      <c r="G81" s="7" t="s">
        <v>125</v>
      </c>
      <c r="H81" s="17">
        <v>168.8</v>
      </c>
      <c r="I81" s="15">
        <v>130.18</v>
      </c>
      <c r="J81" s="15">
        <f t="shared" si="9"/>
        <v>21974.384000000002</v>
      </c>
      <c r="K81" s="6">
        <f t="shared" si="10"/>
        <v>698435.87699999998</v>
      </c>
      <c r="L81" s="6">
        <f t="shared" si="11"/>
        <v>1.3739076552043192</v>
      </c>
      <c r="M81" s="6"/>
      <c r="N81" s="6">
        <v>0.92</v>
      </c>
      <c r="O81" s="6">
        <v>1.375</v>
      </c>
      <c r="P81" s="6"/>
    </row>
    <row r="82" spans="1:16" ht="15.6" x14ac:dyDescent="0.3">
      <c r="A82" s="8" t="s">
        <v>123</v>
      </c>
      <c r="B82" s="9">
        <f>VLOOKUP(A82, 'Compound Classes'!$A$6:$C$23, 3, FALSE)</f>
        <v>45.153173982523548</v>
      </c>
      <c r="C82" s="6">
        <v>43.668409457104339</v>
      </c>
      <c r="D82" s="8" t="s">
        <v>40</v>
      </c>
      <c r="E82" s="8">
        <f t="shared" si="8"/>
        <v>1</v>
      </c>
      <c r="F82" s="17" t="s">
        <v>169</v>
      </c>
      <c r="G82" s="7" t="s">
        <v>125</v>
      </c>
      <c r="H82" s="17">
        <v>229.1</v>
      </c>
      <c r="I82" s="15">
        <v>102.13</v>
      </c>
      <c r="J82" s="15">
        <f t="shared" si="9"/>
        <v>23397.983</v>
      </c>
      <c r="K82" s="6">
        <f t="shared" si="10"/>
        <v>698435.87699999998</v>
      </c>
      <c r="L82" s="6">
        <f t="shared" si="11"/>
        <v>1.462915545666287</v>
      </c>
      <c r="M82" s="6"/>
      <c r="N82" s="6">
        <v>0.92500000000000004</v>
      </c>
      <c r="O82" s="6">
        <v>1.4663999999999999</v>
      </c>
      <c r="P82" s="6"/>
    </row>
    <row r="83" spans="1:16" ht="15.6" x14ac:dyDescent="0.3">
      <c r="A83" s="8" t="s">
        <v>123</v>
      </c>
      <c r="B83" s="9">
        <f>VLOOKUP(A83, 'Compound Classes'!$A$6:$C$23, 3, FALSE)</f>
        <v>45.153173982523548</v>
      </c>
      <c r="C83" s="6">
        <v>43.668409457104339</v>
      </c>
      <c r="D83" s="8" t="s">
        <v>40</v>
      </c>
      <c r="E83" s="8">
        <f t="shared" si="8"/>
        <v>1</v>
      </c>
      <c r="F83" s="24" t="s">
        <v>170</v>
      </c>
      <c r="G83" s="7" t="s">
        <v>125</v>
      </c>
      <c r="H83" s="17">
        <v>217.7</v>
      </c>
      <c r="I83" s="15">
        <v>116.16</v>
      </c>
      <c r="J83" s="15">
        <f t="shared" si="9"/>
        <v>25288.031999999999</v>
      </c>
      <c r="K83" s="6">
        <f t="shared" si="10"/>
        <v>698435.87699999998</v>
      </c>
      <c r="L83" s="6">
        <f t="shared" si="11"/>
        <v>1.5810873583465088</v>
      </c>
      <c r="M83" s="6"/>
      <c r="N83" s="6">
        <v>0.93</v>
      </c>
      <c r="O83" s="6">
        <v>1.5814999999999999</v>
      </c>
      <c r="P83" s="6"/>
    </row>
    <row r="84" spans="1:16" ht="15.6" hidden="1" x14ac:dyDescent="0.3">
      <c r="A84" s="8" t="s">
        <v>123</v>
      </c>
      <c r="B84" s="9">
        <f>VLOOKUP(A84, 'Compound Classes'!$A$6:$C$23, 3, FALSE)</f>
        <v>45.153173982523548</v>
      </c>
      <c r="C84" s="6">
        <v>43.668409457104339</v>
      </c>
      <c r="D84" s="8" t="s">
        <v>40</v>
      </c>
      <c r="E84" s="8">
        <f t="shared" si="8"/>
        <v>1</v>
      </c>
      <c r="F84" s="17" t="s">
        <v>171</v>
      </c>
      <c r="G84" s="7" t="s">
        <v>125</v>
      </c>
      <c r="H84" s="17">
        <v>193.1</v>
      </c>
      <c r="I84" s="15">
        <v>144.21</v>
      </c>
      <c r="J84" s="15">
        <f t="shared" si="9"/>
        <v>27846.951000000001</v>
      </c>
      <c r="K84" s="6">
        <f t="shared" si="10"/>
        <v>698435.87699999998</v>
      </c>
      <c r="L84" s="6">
        <f t="shared" si="11"/>
        <v>1.7410790287909583</v>
      </c>
      <c r="M84" s="6"/>
      <c r="N84" s="6"/>
      <c r="O84" s="6"/>
      <c r="P84" t="s">
        <v>78</v>
      </c>
    </row>
    <row r="85" spans="1:16" ht="15" customHeight="1" x14ac:dyDescent="0.3">
      <c r="A85" s="8" t="s">
        <v>123</v>
      </c>
      <c r="B85" s="9">
        <f>VLOOKUP(A85, 'Compound Classes'!$A$6:$C$23, 3, FALSE)</f>
        <v>45.153173982523548</v>
      </c>
      <c r="C85" s="6">
        <v>43.668409457104339</v>
      </c>
      <c r="D85" s="8" t="s">
        <v>40</v>
      </c>
      <c r="E85" s="8">
        <f t="shared" si="8"/>
        <v>1</v>
      </c>
      <c r="F85" s="17" t="s">
        <v>172</v>
      </c>
      <c r="G85" s="7" t="s">
        <v>125</v>
      </c>
      <c r="H85" s="17">
        <v>181.9</v>
      </c>
      <c r="I85" s="15">
        <v>158.24</v>
      </c>
      <c r="J85" s="15">
        <f t="shared" si="9"/>
        <v>28783.856000000003</v>
      </c>
      <c r="K85" s="6">
        <f t="shared" si="10"/>
        <v>698435.87699999998</v>
      </c>
      <c r="L85" s="6">
        <f t="shared" si="11"/>
        <v>1.799657278433779</v>
      </c>
      <c r="M85" s="6"/>
      <c r="N85" s="6">
        <v>0.90600000000000003</v>
      </c>
      <c r="O85" s="6">
        <v>1.8077000000000001</v>
      </c>
      <c r="P85" s="6"/>
    </row>
    <row r="86" spans="1:16" ht="15" customHeight="1" x14ac:dyDescent="0.3">
      <c r="A86" s="8" t="s">
        <v>123</v>
      </c>
      <c r="B86" s="9">
        <f>VLOOKUP(A86, 'Compound Classes'!$A$6:$C$23, 3, FALSE)</f>
        <v>45.153173982523548</v>
      </c>
      <c r="C86" s="6">
        <v>43.668409457104339</v>
      </c>
      <c r="D86" s="8" t="s">
        <v>40</v>
      </c>
      <c r="E86" s="8">
        <f t="shared" si="8"/>
        <v>1</v>
      </c>
      <c r="F86" s="17" t="s">
        <v>173</v>
      </c>
      <c r="G86" s="7" t="s">
        <v>125</v>
      </c>
      <c r="H86" s="17">
        <v>770.1</v>
      </c>
      <c r="I86" s="15">
        <v>60.05</v>
      </c>
      <c r="J86" s="15">
        <f t="shared" si="9"/>
        <v>46244.504999999997</v>
      </c>
      <c r="K86" s="6">
        <f t="shared" si="10"/>
        <v>698435.87699999998</v>
      </c>
      <c r="L86" s="6">
        <f t="shared" si="11"/>
        <v>2.8913520138100077</v>
      </c>
      <c r="M86" s="6"/>
      <c r="N86" s="6">
        <v>1.05</v>
      </c>
      <c r="O86" s="6">
        <v>2.8995000000000002</v>
      </c>
      <c r="P86" s="6"/>
    </row>
    <row r="87" spans="1:16" ht="15.9" customHeight="1" x14ac:dyDescent="0.3">
      <c r="A87" s="7" t="s">
        <v>18</v>
      </c>
      <c r="B87" s="9">
        <f>VLOOKUP(A87, 'Compound Classes'!$A$6:$C$23, 3, FALSE)</f>
        <v>3.7400972425283063E-2</v>
      </c>
      <c r="C87" s="16">
        <v>0.04</v>
      </c>
      <c r="D87" s="26" t="s">
        <v>40</v>
      </c>
      <c r="E87" s="26">
        <f t="shared" si="8"/>
        <v>1</v>
      </c>
      <c r="F87" s="7" t="s">
        <v>174</v>
      </c>
      <c r="G87" s="7" t="s">
        <v>82</v>
      </c>
      <c r="H87" s="7">
        <v>1</v>
      </c>
      <c r="I87" s="15">
        <v>129.11000000000001</v>
      </c>
      <c r="J87" s="15">
        <f t="shared" si="9"/>
        <v>129.11000000000001</v>
      </c>
      <c r="K87" s="6">
        <f t="shared" si="10"/>
        <v>540.47</v>
      </c>
      <c r="L87" s="6">
        <f t="shared" si="11"/>
        <v>9.5553869780006292E-3</v>
      </c>
      <c r="M87" s="7" t="s">
        <v>175</v>
      </c>
      <c r="N87" s="7"/>
      <c r="O87" s="6">
        <v>9.4999999999999998E-3</v>
      </c>
      <c r="P87" s="6"/>
    </row>
    <row r="88" spans="1:16" ht="15.75" customHeight="1" x14ac:dyDescent="0.3">
      <c r="A88" s="7" t="s">
        <v>18</v>
      </c>
      <c r="B88" s="9">
        <f>VLOOKUP(A88, 'Compound Classes'!$A$6:$C$23, 3, FALSE)</f>
        <v>3.7400972425283063E-2</v>
      </c>
      <c r="C88" s="16">
        <v>0.04</v>
      </c>
      <c r="D88" s="26" t="s">
        <v>40</v>
      </c>
      <c r="E88" s="26">
        <f t="shared" si="8"/>
        <v>1</v>
      </c>
      <c r="F88" s="7" t="s">
        <v>176</v>
      </c>
      <c r="G88" s="7" t="s">
        <v>80</v>
      </c>
      <c r="H88" s="7">
        <v>1</v>
      </c>
      <c r="I88" s="14">
        <v>85.1</v>
      </c>
      <c r="J88" s="15">
        <f t="shared" si="9"/>
        <v>85.1</v>
      </c>
      <c r="K88" s="6">
        <f t="shared" si="10"/>
        <v>540.47</v>
      </c>
      <c r="L88" s="6">
        <f t="shared" si="11"/>
        <v>6.2982219179602925E-3</v>
      </c>
      <c r="M88" s="7" t="s">
        <v>175</v>
      </c>
      <c r="N88" s="7">
        <v>1.1160000000000001</v>
      </c>
      <c r="O88" s="6">
        <v>7.0000000000000001E-3</v>
      </c>
      <c r="P88" s="6"/>
    </row>
    <row r="89" spans="1:16" ht="15.6" x14ac:dyDescent="0.3">
      <c r="A89" s="7" t="s">
        <v>18</v>
      </c>
      <c r="B89" s="9">
        <f>VLOOKUP(A89, 'Compound Classes'!$A$6:$C$23, 3, FALSE)</f>
        <v>3.7400972425283063E-2</v>
      </c>
      <c r="C89" s="16">
        <v>0.04</v>
      </c>
      <c r="D89" s="26" t="s">
        <v>40</v>
      </c>
      <c r="E89" s="26">
        <f t="shared" si="8"/>
        <v>1</v>
      </c>
      <c r="F89" s="7" t="s">
        <v>177</v>
      </c>
      <c r="G89" s="7" t="s">
        <v>178</v>
      </c>
      <c r="H89" s="7">
        <v>1</v>
      </c>
      <c r="I89" s="14">
        <v>114.06</v>
      </c>
      <c r="J89" s="15">
        <f t="shared" si="9"/>
        <v>114.06</v>
      </c>
      <c r="K89" s="6">
        <f t="shared" si="10"/>
        <v>540.47</v>
      </c>
      <c r="L89" s="6">
        <f t="shared" si="11"/>
        <v>8.4415416211815648E-3</v>
      </c>
      <c r="M89" s="7" t="s">
        <v>175</v>
      </c>
      <c r="N89" s="7"/>
      <c r="O89" s="6">
        <v>8.5000000000000006E-3</v>
      </c>
      <c r="P89" s="6"/>
    </row>
    <row r="90" spans="1:16" ht="15.75" customHeight="1" x14ac:dyDescent="0.3">
      <c r="A90" s="7" t="s">
        <v>18</v>
      </c>
      <c r="B90" s="9">
        <f>VLOOKUP(A90, 'Compound Classes'!$A$6:$C$23, 3, FALSE)</f>
        <v>3.7400972425283063E-2</v>
      </c>
      <c r="C90" s="16">
        <v>0.04</v>
      </c>
      <c r="D90" s="26" t="s">
        <v>40</v>
      </c>
      <c r="E90" s="26">
        <f t="shared" si="8"/>
        <v>1</v>
      </c>
      <c r="F90" s="7" t="s">
        <v>179</v>
      </c>
      <c r="G90" s="7" t="s">
        <v>180</v>
      </c>
      <c r="H90" s="7">
        <v>1</v>
      </c>
      <c r="I90" s="14">
        <v>99.09</v>
      </c>
      <c r="J90" s="15">
        <f t="shared" si="9"/>
        <v>99.09</v>
      </c>
      <c r="K90" s="6">
        <f t="shared" si="10"/>
        <v>540.47</v>
      </c>
      <c r="L90" s="6">
        <f t="shared" si="11"/>
        <v>7.3336170370233312E-3</v>
      </c>
      <c r="M90" s="7" t="s">
        <v>175</v>
      </c>
      <c r="N90" s="7"/>
      <c r="O90" s="6">
        <v>7.7000000000000002E-3</v>
      </c>
      <c r="P90" s="6"/>
    </row>
    <row r="91" spans="1:16" ht="15.6" x14ac:dyDescent="0.3">
      <c r="A91" s="7" t="s">
        <v>18</v>
      </c>
      <c r="B91" s="9">
        <f>VLOOKUP(A91, 'Compound Classes'!$A$6:$C$23, 3, FALSE)</f>
        <v>3.7400972425283063E-2</v>
      </c>
      <c r="C91" s="16">
        <v>0.04</v>
      </c>
      <c r="D91" s="26" t="s">
        <v>40</v>
      </c>
      <c r="E91" s="26">
        <f t="shared" si="8"/>
        <v>1</v>
      </c>
      <c r="F91" s="7" t="s">
        <v>181</v>
      </c>
      <c r="G91" s="7" t="s">
        <v>182</v>
      </c>
      <c r="H91" s="7">
        <v>1</v>
      </c>
      <c r="I91" s="14">
        <v>113.11</v>
      </c>
      <c r="J91" s="15">
        <f t="shared" si="9"/>
        <v>113.11</v>
      </c>
      <c r="K91" s="6">
        <f t="shared" si="10"/>
        <v>540.47</v>
      </c>
      <c r="L91" s="6">
        <f t="shared" si="11"/>
        <v>8.3712324458341814E-3</v>
      </c>
      <c r="M91" s="7" t="s">
        <v>175</v>
      </c>
      <c r="N91" s="7"/>
      <c r="O91" s="6">
        <v>8.3000000000000001E-3</v>
      </c>
      <c r="P91" s="6"/>
    </row>
    <row r="92" spans="1:16" ht="15" customHeight="1" x14ac:dyDescent="0.3">
      <c r="A92" s="8" t="s">
        <v>183</v>
      </c>
      <c r="B92" s="9">
        <f>VLOOKUP(A92, 'Compound Classes'!$A$6:$C$23, 3, FALSE)</f>
        <v>0.2040053041379076</v>
      </c>
      <c r="C92" s="10">
        <v>0.2</v>
      </c>
      <c r="D92" s="8" t="s">
        <v>40</v>
      </c>
      <c r="E92" s="8">
        <f t="shared" si="8"/>
        <v>1</v>
      </c>
      <c r="F92" s="15" t="s">
        <v>184</v>
      </c>
      <c r="G92" s="7" t="s">
        <v>185</v>
      </c>
      <c r="H92" s="7">
        <v>9</v>
      </c>
      <c r="I92" s="15">
        <v>96.02</v>
      </c>
      <c r="J92" s="15">
        <f t="shared" si="9"/>
        <v>864.18</v>
      </c>
      <c r="K92" s="6">
        <f t="shared" si="10"/>
        <v>1524.48</v>
      </c>
      <c r="L92" s="6">
        <f t="shared" si="11"/>
        <v>0.11337374055415617</v>
      </c>
      <c r="M92" s="6"/>
      <c r="N92" s="6"/>
      <c r="O92" s="6">
        <v>0.1173</v>
      </c>
      <c r="P92" s="6"/>
    </row>
    <row r="93" spans="1:16" ht="15" customHeight="1" x14ac:dyDescent="0.3">
      <c r="A93" s="8" t="s">
        <v>183</v>
      </c>
      <c r="B93" s="9">
        <f>VLOOKUP(A93, 'Compound Classes'!$A$6:$C$23, 3, FALSE)</f>
        <v>0.2040053041379076</v>
      </c>
      <c r="C93" s="10">
        <v>0.2</v>
      </c>
      <c r="D93" s="8" t="s">
        <v>40</v>
      </c>
      <c r="E93" s="8">
        <f t="shared" si="8"/>
        <v>1</v>
      </c>
      <c r="F93" s="15" t="s">
        <v>186</v>
      </c>
      <c r="G93" s="7" t="s">
        <v>185</v>
      </c>
      <c r="H93" s="7">
        <v>6</v>
      </c>
      <c r="I93" s="15">
        <v>110.05</v>
      </c>
      <c r="J93" s="15">
        <f t="shared" si="9"/>
        <v>660.3</v>
      </c>
      <c r="K93" s="6">
        <f t="shared" si="10"/>
        <v>1524.48</v>
      </c>
      <c r="L93" s="6">
        <f t="shared" si="11"/>
        <v>8.6626259445843831E-2</v>
      </c>
      <c r="M93" s="6"/>
      <c r="N93" s="6"/>
      <c r="O93" s="6">
        <v>8.5300000000000001E-2</v>
      </c>
      <c r="P93" s="6"/>
    </row>
    <row r="94" spans="1:16" ht="15.6" x14ac:dyDescent="0.3">
      <c r="A94" s="8" t="s">
        <v>187</v>
      </c>
      <c r="B94" s="9">
        <f>VLOOKUP(A94, 'Compound Classes'!$A$6:$C$23, 3, FALSE)</f>
        <v>5.1681343714936583</v>
      </c>
      <c r="C94" s="10">
        <v>5</v>
      </c>
      <c r="D94" s="8" t="s">
        <v>40</v>
      </c>
      <c r="E94" s="8">
        <f t="shared" si="8"/>
        <v>1</v>
      </c>
      <c r="F94" s="18" t="s">
        <v>188</v>
      </c>
      <c r="G94" s="14" t="s">
        <v>189</v>
      </c>
      <c r="H94" s="18">
        <v>10</v>
      </c>
      <c r="I94" s="27">
        <v>30.026</v>
      </c>
      <c r="J94" s="15">
        <f t="shared" si="9"/>
        <v>300.26</v>
      </c>
      <c r="K94" s="6">
        <f t="shared" si="10"/>
        <v>23473.493999999999</v>
      </c>
      <c r="L94" s="6">
        <f t="shared" si="11"/>
        <v>6.3957244711843914E-2</v>
      </c>
      <c r="M94" s="6"/>
      <c r="N94" s="6">
        <v>0.81499999999999995</v>
      </c>
      <c r="O94" s="6">
        <v>6.3700000000000007E-2</v>
      </c>
      <c r="P94" s="6"/>
    </row>
    <row r="95" spans="1:16" ht="15.75" customHeight="1" x14ac:dyDescent="0.3">
      <c r="A95" s="8" t="s">
        <v>187</v>
      </c>
      <c r="B95" s="9">
        <f>VLOOKUP(A95, 'Compound Classes'!$A$6:$C$23, 3, FALSE)</f>
        <v>5.1681343714936583</v>
      </c>
      <c r="C95" s="10">
        <v>5</v>
      </c>
      <c r="D95" s="8" t="s">
        <v>40</v>
      </c>
      <c r="E95" s="8">
        <f t="shared" si="8"/>
        <v>1</v>
      </c>
      <c r="F95" s="18" t="s">
        <v>190</v>
      </c>
      <c r="G95" s="14" t="s">
        <v>191</v>
      </c>
      <c r="H95" s="18">
        <v>24</v>
      </c>
      <c r="I95" s="27">
        <v>44.05</v>
      </c>
      <c r="J95" s="15">
        <f t="shared" si="9"/>
        <v>1057.1999999999998</v>
      </c>
      <c r="K95" s="6">
        <f t="shared" si="10"/>
        <v>23473.493999999999</v>
      </c>
      <c r="L95" s="6">
        <f t="shared" si="11"/>
        <v>0.22519016555439081</v>
      </c>
      <c r="M95" s="6"/>
      <c r="N95" s="6">
        <v>0.78400000000000003</v>
      </c>
      <c r="O95" s="6">
        <v>0.22359999999999999</v>
      </c>
      <c r="P95" s="6"/>
    </row>
    <row r="96" spans="1:16" ht="15.75" customHeight="1" x14ac:dyDescent="0.3">
      <c r="A96" s="8" t="s">
        <v>187</v>
      </c>
      <c r="B96" s="9">
        <f>VLOOKUP(A96, 'Compound Classes'!$A$6:$C$23, 3, FALSE)</f>
        <v>5.1681343714936583</v>
      </c>
      <c r="C96" s="10">
        <v>5</v>
      </c>
      <c r="D96" s="8" t="s">
        <v>40</v>
      </c>
      <c r="E96" s="8">
        <f t="shared" si="8"/>
        <v>1</v>
      </c>
      <c r="F96" s="18" t="s">
        <v>192</v>
      </c>
      <c r="G96" s="14" t="s">
        <v>193</v>
      </c>
      <c r="H96" s="18">
        <v>10.8</v>
      </c>
      <c r="I96" s="17">
        <v>100.16</v>
      </c>
      <c r="J96" s="15">
        <f t="shared" si="9"/>
        <v>1081.7280000000001</v>
      </c>
      <c r="K96" s="6">
        <f t="shared" si="10"/>
        <v>23473.493999999999</v>
      </c>
      <c r="L96" s="6">
        <f t="shared" si="11"/>
        <v>0.23041478188121464</v>
      </c>
      <c r="M96" s="6"/>
      <c r="N96" s="6">
        <v>0.81499999999999995</v>
      </c>
      <c r="O96" s="6">
        <v>0.23749999999999999</v>
      </c>
      <c r="P96" s="6"/>
    </row>
    <row r="97" spans="1:16" ht="15.75" customHeight="1" x14ac:dyDescent="0.3">
      <c r="A97" s="8" t="s">
        <v>187</v>
      </c>
      <c r="B97" s="9">
        <f>VLOOKUP(A97, 'Compound Classes'!$A$6:$C$23, 3, FALSE)</f>
        <v>5.1681343714936583</v>
      </c>
      <c r="C97" s="10">
        <v>5</v>
      </c>
      <c r="D97" s="8" t="s">
        <v>40</v>
      </c>
      <c r="E97" s="8">
        <f t="shared" si="8"/>
        <v>1</v>
      </c>
      <c r="F97" s="18" t="s">
        <v>194</v>
      </c>
      <c r="G97" s="14" t="s">
        <v>195</v>
      </c>
      <c r="H97" s="18">
        <v>23.5</v>
      </c>
      <c r="I97" s="27">
        <v>58.08</v>
      </c>
      <c r="J97" s="15">
        <f t="shared" si="9"/>
        <v>1364.8799999999999</v>
      </c>
      <c r="K97" s="6">
        <f t="shared" si="10"/>
        <v>23473.493999999999</v>
      </c>
      <c r="L97" s="6">
        <f t="shared" si="11"/>
        <v>0.29072791634683781</v>
      </c>
      <c r="M97" s="6"/>
      <c r="N97" s="6">
        <v>0.81</v>
      </c>
      <c r="O97" s="6">
        <v>0.2923</v>
      </c>
      <c r="P97" s="6"/>
    </row>
    <row r="98" spans="1:16" ht="15.6" x14ac:dyDescent="0.3">
      <c r="A98" s="8" t="s">
        <v>187</v>
      </c>
      <c r="B98" s="9">
        <f>VLOOKUP(A98, 'Compound Classes'!$A$6:$C$23, 3, FALSE)</f>
        <v>5.1681343714936583</v>
      </c>
      <c r="C98" s="10">
        <v>5</v>
      </c>
      <c r="D98" s="8" t="s">
        <v>40</v>
      </c>
      <c r="E98" s="8">
        <f t="shared" ref="E98:E116" si="12">IF(D98="yes",1,0)</f>
        <v>1</v>
      </c>
      <c r="F98" s="18" t="s">
        <v>196</v>
      </c>
      <c r="G98" s="14" t="s">
        <v>197</v>
      </c>
      <c r="H98" s="18">
        <v>32.200000000000003</v>
      </c>
      <c r="I98" s="17">
        <v>72.11</v>
      </c>
      <c r="J98" s="15">
        <f t="shared" si="9"/>
        <v>2321.942</v>
      </c>
      <c r="K98" s="6">
        <f t="shared" si="10"/>
        <v>23473.493999999999</v>
      </c>
      <c r="L98" s="6">
        <f t="shared" si="11"/>
        <v>0.49458806601181743</v>
      </c>
      <c r="M98" s="6"/>
      <c r="N98" s="6">
        <v>0.80159999999999998</v>
      </c>
      <c r="O98" s="6">
        <v>0.49680000000000002</v>
      </c>
      <c r="P98" s="6"/>
    </row>
    <row r="99" spans="1:16" ht="15.6" x14ac:dyDescent="0.3">
      <c r="A99" s="8" t="s">
        <v>187</v>
      </c>
      <c r="B99" s="9">
        <f>VLOOKUP(A99, 'Compound Classes'!$A$6:$C$23, 3, FALSE)</f>
        <v>5.1681343714936583</v>
      </c>
      <c r="C99" s="10">
        <v>5</v>
      </c>
      <c r="D99" s="8" t="s">
        <v>40</v>
      </c>
      <c r="E99" s="8">
        <f t="shared" si="12"/>
        <v>1</v>
      </c>
      <c r="F99" s="18" t="s">
        <v>198</v>
      </c>
      <c r="G99" s="14" t="s">
        <v>199</v>
      </c>
      <c r="H99" s="18">
        <v>25</v>
      </c>
      <c r="I99" s="17">
        <v>100.16</v>
      </c>
      <c r="J99" s="15">
        <f t="shared" ref="J99:J106" si="13">H99*I99</f>
        <v>2504</v>
      </c>
      <c r="K99" s="6">
        <f t="shared" si="10"/>
        <v>23473.493999999999</v>
      </c>
      <c r="L99" s="6">
        <f t="shared" si="11"/>
        <v>0.53336755065095975</v>
      </c>
      <c r="M99" s="6"/>
      <c r="N99" s="6">
        <v>0.81</v>
      </c>
      <c r="O99" s="6">
        <v>0.53469999999999995</v>
      </c>
      <c r="P99" s="6"/>
    </row>
    <row r="100" spans="1:16" ht="15.75" customHeight="1" x14ac:dyDescent="0.3">
      <c r="A100" s="8" t="s">
        <v>187</v>
      </c>
      <c r="B100" s="9">
        <f>VLOOKUP(A100, 'Compound Classes'!$A$6:$C$23, 3, FALSE)</f>
        <v>5.1681343714936583</v>
      </c>
      <c r="C100" s="10">
        <v>5</v>
      </c>
      <c r="D100" s="8" t="s">
        <v>40</v>
      </c>
      <c r="E100" s="8">
        <f t="shared" si="12"/>
        <v>1</v>
      </c>
      <c r="F100" s="18" t="s">
        <v>200</v>
      </c>
      <c r="G100" s="14" t="s">
        <v>201</v>
      </c>
      <c r="H100" s="18">
        <v>47.3</v>
      </c>
      <c r="I100" s="17">
        <v>58.08</v>
      </c>
      <c r="J100" s="15">
        <f t="shared" si="13"/>
        <v>2747.1839999999997</v>
      </c>
      <c r="K100" s="6">
        <f t="shared" ref="K100:K116" si="14">SUMIFS(J$2:J$116,A$2:A$116,A100,D$2:D$116,"=yes")</f>
        <v>23473.493999999999</v>
      </c>
      <c r="L100" s="6">
        <f t="shared" si="11"/>
        <v>0.58516725290235871</v>
      </c>
      <c r="M100" s="6"/>
      <c r="N100" s="6"/>
      <c r="O100" s="6">
        <v>0.58350000000000002</v>
      </c>
      <c r="P100" s="6"/>
    </row>
    <row r="101" spans="1:16" ht="15.75" customHeight="1" x14ac:dyDescent="0.3">
      <c r="A101" s="8" t="s">
        <v>187</v>
      </c>
      <c r="B101" s="9">
        <f>VLOOKUP(A101, 'Compound Classes'!$A$6:$C$23, 3, FALSE)</f>
        <v>5.1681343714936583</v>
      </c>
      <c r="C101" s="10">
        <v>5</v>
      </c>
      <c r="D101" s="8" t="s">
        <v>40</v>
      </c>
      <c r="E101" s="8">
        <f t="shared" si="12"/>
        <v>1</v>
      </c>
      <c r="F101" s="18" t="s">
        <v>202</v>
      </c>
      <c r="G101" s="14" t="s">
        <v>203</v>
      </c>
      <c r="H101" s="18">
        <v>61</v>
      </c>
      <c r="I101" s="17">
        <v>98.14</v>
      </c>
      <c r="J101" s="15">
        <f t="shared" si="13"/>
        <v>5986.54</v>
      </c>
      <c r="K101" s="6">
        <f t="shared" si="14"/>
        <v>23473.493999999999</v>
      </c>
      <c r="L101" s="6">
        <f t="shared" si="11"/>
        <v>1.2751701983522352</v>
      </c>
      <c r="M101" s="6"/>
      <c r="N101" s="6">
        <v>0.94699999999999995</v>
      </c>
      <c r="O101" s="6">
        <v>1.3073999999999999</v>
      </c>
      <c r="P101" s="6"/>
    </row>
    <row r="102" spans="1:16" ht="15.75" customHeight="1" x14ac:dyDescent="0.3">
      <c r="A102" s="8" t="s">
        <v>187</v>
      </c>
      <c r="B102" s="9">
        <f>VLOOKUP(A102, 'Compound Classes'!$A$6:$C$23, 3, FALSE)</f>
        <v>5.1681343714936583</v>
      </c>
      <c r="C102" s="10">
        <v>5</v>
      </c>
      <c r="D102" s="8" t="s">
        <v>40</v>
      </c>
      <c r="E102" s="8">
        <f t="shared" si="12"/>
        <v>1</v>
      </c>
      <c r="F102" s="18" t="s">
        <v>204</v>
      </c>
      <c r="G102" s="14" t="s">
        <v>205</v>
      </c>
      <c r="H102" s="18">
        <v>61</v>
      </c>
      <c r="I102" s="17">
        <v>100.16</v>
      </c>
      <c r="J102" s="15">
        <f t="shared" si="13"/>
        <v>6109.76</v>
      </c>
      <c r="K102" s="6">
        <f t="shared" si="14"/>
        <v>23473.493999999999</v>
      </c>
      <c r="L102" s="6">
        <f t="shared" ref="L102:L115" si="15">J102*E102/K102*C102</f>
        <v>1.3014168235883419</v>
      </c>
      <c r="M102" s="6"/>
      <c r="N102" s="6">
        <v>0.81</v>
      </c>
      <c r="O102" s="6">
        <v>1.2983</v>
      </c>
      <c r="P102" s="6"/>
    </row>
    <row r="103" spans="1:16" ht="15.6" hidden="1" x14ac:dyDescent="0.3">
      <c r="A103" s="8" t="s">
        <v>206</v>
      </c>
      <c r="B103" s="9">
        <f>VLOOKUP(A103, 'Compound Classes'!$A$6:$C$23, 3, FALSE)</f>
        <v>8.1602121655163042</v>
      </c>
      <c r="C103" s="10">
        <v>7.89</v>
      </c>
      <c r="D103" s="8" t="s">
        <v>40</v>
      </c>
      <c r="E103" s="8">
        <f t="shared" si="12"/>
        <v>1</v>
      </c>
      <c r="F103" s="16" t="s">
        <v>207</v>
      </c>
      <c r="G103" s="7" t="s">
        <v>208</v>
      </c>
      <c r="H103" s="28">
        <f>80/6</f>
        <v>13.333333333333334</v>
      </c>
      <c r="I103" s="17">
        <v>121.08</v>
      </c>
      <c r="J103" s="15">
        <f t="shared" si="13"/>
        <v>1614.4</v>
      </c>
      <c r="K103" s="6">
        <f t="shared" si="14"/>
        <v>44697.600000000006</v>
      </c>
      <c r="L103" s="6">
        <f t="shared" si="15"/>
        <v>0.28497315292096215</v>
      </c>
      <c r="M103" s="6"/>
      <c r="N103" s="6"/>
      <c r="O103" s="6"/>
      <c r="P103" t="s">
        <v>78</v>
      </c>
    </row>
    <row r="104" spans="1:16" ht="15.75" customHeight="1" x14ac:dyDescent="0.3">
      <c r="A104" s="8" t="s">
        <v>206</v>
      </c>
      <c r="B104" s="9">
        <f>VLOOKUP(A104, 'Compound Classes'!$A$6:$C$23, 3, FALSE)</f>
        <v>8.1602121655163042</v>
      </c>
      <c r="C104" s="10">
        <v>7.89</v>
      </c>
      <c r="D104" s="8" t="s">
        <v>40</v>
      </c>
      <c r="E104" s="8">
        <f t="shared" si="12"/>
        <v>1</v>
      </c>
      <c r="F104" s="7" t="s">
        <v>209</v>
      </c>
      <c r="G104" s="7" t="s">
        <v>208</v>
      </c>
      <c r="H104" s="28">
        <v>80</v>
      </c>
      <c r="I104" s="15">
        <v>106.08</v>
      </c>
      <c r="J104" s="15">
        <f t="shared" si="13"/>
        <v>8486.4</v>
      </c>
      <c r="K104" s="6">
        <f t="shared" si="14"/>
        <v>44697.600000000006</v>
      </c>
      <c r="L104" s="6">
        <f t="shared" si="15"/>
        <v>1.4980154639175254</v>
      </c>
      <c r="M104" s="6"/>
      <c r="N104" s="6">
        <v>1.6</v>
      </c>
      <c r="O104" s="6">
        <v>1.4970000000000001</v>
      </c>
      <c r="P104" s="6"/>
    </row>
    <row r="105" spans="1:16" ht="15.6" x14ac:dyDescent="0.3">
      <c r="A105" s="8" t="s">
        <v>206</v>
      </c>
      <c r="B105" s="9">
        <f>VLOOKUP(A105, 'Compound Classes'!$A$6:$C$23, 3, FALSE)</f>
        <v>8.1602121655163042</v>
      </c>
      <c r="C105" s="10">
        <v>7.89</v>
      </c>
      <c r="D105" s="8" t="s">
        <v>40</v>
      </c>
      <c r="E105" s="8">
        <f t="shared" si="12"/>
        <v>1</v>
      </c>
      <c r="F105" s="7" t="s">
        <v>210</v>
      </c>
      <c r="G105" s="7" t="s">
        <v>208</v>
      </c>
      <c r="H105" s="28">
        <v>160</v>
      </c>
      <c r="I105" s="15">
        <v>92.09</v>
      </c>
      <c r="J105" s="15">
        <f t="shared" si="13"/>
        <v>14734.400000000001</v>
      </c>
      <c r="K105" s="6">
        <f t="shared" si="14"/>
        <v>44697.600000000006</v>
      </c>
      <c r="L105" s="6">
        <f t="shared" si="15"/>
        <v>2.6009095790378005</v>
      </c>
      <c r="M105" s="6"/>
      <c r="N105" s="6">
        <v>1.2583</v>
      </c>
      <c r="O105" s="6">
        <v>2.6133999999999999</v>
      </c>
      <c r="P105" s="6"/>
    </row>
    <row r="106" spans="1:16" ht="15.75" customHeight="1" x14ac:dyDescent="0.3">
      <c r="A106" s="8" t="s">
        <v>206</v>
      </c>
      <c r="B106" s="9">
        <f>VLOOKUP(A106, 'Compound Classes'!$A$6:$C$23, 3, FALSE)</f>
        <v>8.1602121655163042</v>
      </c>
      <c r="C106" s="10">
        <v>7.89</v>
      </c>
      <c r="D106" s="8" t="s">
        <v>40</v>
      </c>
      <c r="E106" s="8">
        <f t="shared" si="12"/>
        <v>1</v>
      </c>
      <c r="F106" s="28" t="s">
        <v>211</v>
      </c>
      <c r="G106" s="7" t="s">
        <v>208</v>
      </c>
      <c r="H106" s="28">
        <v>320</v>
      </c>
      <c r="I106" s="15">
        <v>62.07</v>
      </c>
      <c r="J106" s="15">
        <f t="shared" si="13"/>
        <v>19862.400000000001</v>
      </c>
      <c r="K106" s="6">
        <f t="shared" si="14"/>
        <v>44697.600000000006</v>
      </c>
      <c r="L106" s="6">
        <f t="shared" si="15"/>
        <v>3.5061018041237109</v>
      </c>
      <c r="M106" s="6"/>
      <c r="N106" s="6">
        <v>1.113</v>
      </c>
      <c r="O106" s="6">
        <v>3.5095000000000001</v>
      </c>
      <c r="P106" s="6"/>
    </row>
    <row r="107" spans="1:16" ht="15.75" customHeight="1" x14ac:dyDescent="0.25">
      <c r="A107" s="7" t="s">
        <v>23</v>
      </c>
      <c r="B107" s="9">
        <f>VLOOKUP(A107, 'Compound Classes'!$A$6:$C$23, 3, FALSE)</f>
        <v>0.16320424331032607</v>
      </c>
      <c r="C107" s="15">
        <v>0.16</v>
      </c>
      <c r="D107" s="8" t="s">
        <v>40</v>
      </c>
      <c r="E107" s="8">
        <f t="shared" si="12"/>
        <v>1</v>
      </c>
      <c r="F107" s="15" t="s">
        <v>212</v>
      </c>
      <c r="G107" s="7" t="s">
        <v>213</v>
      </c>
      <c r="H107" s="6">
        <f>J107/I107</f>
        <v>1.5483358697809833</v>
      </c>
      <c r="I107" s="15">
        <v>151.13</v>
      </c>
      <c r="J107" s="6">
        <v>234</v>
      </c>
      <c r="K107" s="6">
        <f t="shared" si="14"/>
        <v>1031</v>
      </c>
      <c r="L107" s="6">
        <f t="shared" si="15"/>
        <v>3.6314258001939867E-2</v>
      </c>
      <c r="M107" s="6"/>
      <c r="N107" s="6"/>
      <c r="O107" s="6">
        <v>3.6700000000000003E-2</v>
      </c>
      <c r="P107" s="6"/>
    </row>
    <row r="108" spans="1:16" x14ac:dyDescent="0.25">
      <c r="A108" s="8" t="s">
        <v>214</v>
      </c>
      <c r="B108" s="9">
        <f>VLOOKUP(A108, 'Compound Classes'!$A$6:$C$23, 3, FALSE)</f>
        <v>0.16320424331032607</v>
      </c>
      <c r="C108" s="15">
        <v>0.16</v>
      </c>
      <c r="D108" s="8" t="s">
        <v>40</v>
      </c>
      <c r="E108" s="8">
        <f t="shared" si="12"/>
        <v>1</v>
      </c>
      <c r="F108" s="15" t="s">
        <v>215</v>
      </c>
      <c r="G108" s="7" t="s">
        <v>213</v>
      </c>
      <c r="H108" s="6">
        <f>J108/I108</f>
        <v>1.9758750832531637</v>
      </c>
      <c r="I108" s="15">
        <v>135.13</v>
      </c>
      <c r="J108" s="6">
        <v>267</v>
      </c>
      <c r="K108" s="6">
        <f t="shared" si="14"/>
        <v>1031</v>
      </c>
      <c r="L108" s="6">
        <f t="shared" si="15"/>
        <v>4.1435499515033947E-2</v>
      </c>
      <c r="M108" s="6"/>
      <c r="N108" s="6"/>
      <c r="O108" s="6">
        <v>4.07E-2</v>
      </c>
      <c r="P108" s="6"/>
    </row>
    <row r="109" spans="1:16" ht="15.75" customHeight="1" x14ac:dyDescent="0.25">
      <c r="A109" s="8" t="s">
        <v>214</v>
      </c>
      <c r="B109" s="9">
        <f>VLOOKUP(A109, 'Compound Classes'!$A$6:$C$23, 3, FALSE)</f>
        <v>0.16320424331032607</v>
      </c>
      <c r="C109" s="15">
        <v>0.16</v>
      </c>
      <c r="D109" s="8" t="s">
        <v>40</v>
      </c>
      <c r="E109" s="8">
        <f t="shared" si="12"/>
        <v>1</v>
      </c>
      <c r="F109" s="15" t="s">
        <v>216</v>
      </c>
      <c r="G109" s="7" t="s">
        <v>213</v>
      </c>
      <c r="H109" s="6">
        <f>J109/I109</f>
        <v>3.484320557491289</v>
      </c>
      <c r="I109" s="15">
        <v>152.11000000000001</v>
      </c>
      <c r="J109" s="6">
        <v>530</v>
      </c>
      <c r="K109" s="6">
        <f t="shared" si="14"/>
        <v>1031</v>
      </c>
      <c r="L109" s="6">
        <f t="shared" si="15"/>
        <v>8.225024248302619E-2</v>
      </c>
      <c r="M109" s="6"/>
      <c r="N109" s="6"/>
      <c r="O109" s="6">
        <v>8.6800000000000002E-2</v>
      </c>
      <c r="P109" s="6"/>
    </row>
    <row r="110" spans="1:16" ht="15" customHeight="1" x14ac:dyDescent="0.3">
      <c r="A110" s="7" t="s">
        <v>15</v>
      </c>
      <c r="B110" s="9">
        <f>VLOOKUP(A110, 'Compound Classes'!$A$6:$C$23, 3, FALSE)</f>
        <v>0.95202475264356878</v>
      </c>
      <c r="C110" s="10">
        <v>0.92</v>
      </c>
      <c r="D110" s="8" t="s">
        <v>40</v>
      </c>
      <c r="E110" s="8">
        <f t="shared" si="12"/>
        <v>1</v>
      </c>
      <c r="F110" s="7" t="s">
        <v>217</v>
      </c>
      <c r="G110" s="7" t="s">
        <v>218</v>
      </c>
      <c r="H110" s="7">
        <v>1</v>
      </c>
      <c r="I110" s="15">
        <v>123.11</v>
      </c>
      <c r="J110" s="6">
        <v>530</v>
      </c>
      <c r="K110" s="6">
        <f t="shared" si="14"/>
        <v>1060</v>
      </c>
      <c r="L110" s="6">
        <f t="shared" si="15"/>
        <v>0.46</v>
      </c>
      <c r="M110" s="7" t="s">
        <v>175</v>
      </c>
      <c r="N110" s="7"/>
      <c r="O110" s="6">
        <v>0.46029999999999999</v>
      </c>
      <c r="P110" s="6"/>
    </row>
    <row r="111" spans="1:16" ht="15.75" hidden="1" customHeight="1" x14ac:dyDescent="0.3">
      <c r="A111" s="7" t="s">
        <v>15</v>
      </c>
      <c r="B111" s="9">
        <f>VLOOKUP(A111, 'Compound Classes'!$A$6:$C$23, 3, FALSE)</f>
        <v>0.95202475264356878</v>
      </c>
      <c r="C111" s="10">
        <v>0.92</v>
      </c>
      <c r="D111" s="8" t="s">
        <v>40</v>
      </c>
      <c r="E111" s="8">
        <f t="shared" si="12"/>
        <v>1</v>
      </c>
      <c r="F111" s="7" t="s">
        <v>219</v>
      </c>
      <c r="G111" s="7" t="s">
        <v>220</v>
      </c>
      <c r="H111" s="7">
        <v>1</v>
      </c>
      <c r="I111" s="15">
        <v>138.13999999999999</v>
      </c>
      <c r="J111" s="6">
        <v>530</v>
      </c>
      <c r="K111" s="6">
        <f t="shared" si="14"/>
        <v>1060</v>
      </c>
      <c r="L111" s="6">
        <f t="shared" si="15"/>
        <v>0.46</v>
      </c>
      <c r="M111" s="7" t="s">
        <v>175</v>
      </c>
      <c r="N111" s="7"/>
      <c r="O111" s="6"/>
      <c r="P111" t="s">
        <v>78</v>
      </c>
    </row>
    <row r="112" spans="1:16" ht="15.6" x14ac:dyDescent="0.3">
      <c r="A112" s="8" t="s">
        <v>221</v>
      </c>
      <c r="B112" s="9">
        <f>VLOOKUP(A112, 'Compound Classes'!$A$6:$C$23, 3, FALSE)</f>
        <v>9.1122369181598728</v>
      </c>
      <c r="C112" s="10">
        <v>8.81</v>
      </c>
      <c r="D112" s="8" t="s">
        <v>40</v>
      </c>
      <c r="E112" s="8">
        <f t="shared" si="12"/>
        <v>1</v>
      </c>
      <c r="F112" s="15" t="s">
        <v>222</v>
      </c>
      <c r="G112" s="7" t="s">
        <v>185</v>
      </c>
      <c r="H112" s="7">
        <v>27</v>
      </c>
      <c r="I112" s="15">
        <v>124.16</v>
      </c>
      <c r="J112" s="15">
        <f>H112*I112</f>
        <v>3352.3199999999997</v>
      </c>
      <c r="K112" s="6">
        <f t="shared" si="14"/>
        <v>68261.08</v>
      </c>
      <c r="L112" s="6">
        <f t="shared" si="15"/>
        <v>0.43266146975699765</v>
      </c>
      <c r="M112" s="6"/>
      <c r="N112" s="6">
        <v>1.25</v>
      </c>
      <c r="O112" s="6">
        <v>0.435</v>
      </c>
      <c r="P112" s="6"/>
    </row>
    <row r="113" spans="1:16" ht="15" customHeight="1" x14ac:dyDescent="0.3">
      <c r="A113" s="8" t="s">
        <v>221</v>
      </c>
      <c r="B113" s="9">
        <f>VLOOKUP(A113, 'Compound Classes'!$A$6:$C$23, 3, FALSE)</f>
        <v>9.1122369181598728</v>
      </c>
      <c r="C113" s="10">
        <v>8.81</v>
      </c>
      <c r="D113" s="8" t="s">
        <v>40</v>
      </c>
      <c r="E113" s="8">
        <f t="shared" si="12"/>
        <v>1</v>
      </c>
      <c r="F113" s="15" t="s">
        <v>223</v>
      </c>
      <c r="G113" s="7" t="s">
        <v>185</v>
      </c>
      <c r="H113" s="7">
        <v>54</v>
      </c>
      <c r="I113" s="15">
        <v>138.19</v>
      </c>
      <c r="J113" s="15">
        <f>H113*I113</f>
        <v>7462.26</v>
      </c>
      <c r="K113" s="6">
        <f t="shared" si="14"/>
        <v>68261.08</v>
      </c>
      <c r="L113" s="6">
        <f t="shared" si="15"/>
        <v>0.96310387412563647</v>
      </c>
      <c r="M113" s="6"/>
      <c r="N113" s="6">
        <v>1.1399999999999999</v>
      </c>
      <c r="O113" s="6">
        <v>0.96650000000000003</v>
      </c>
      <c r="P113" s="6"/>
    </row>
    <row r="114" spans="1:16" ht="15" customHeight="1" x14ac:dyDescent="0.3">
      <c r="A114" s="8" t="s">
        <v>221</v>
      </c>
      <c r="B114" s="9">
        <f>VLOOKUP(A114, 'Compound Classes'!$A$6:$C$23, 3, FALSE)</f>
        <v>9.1122369181598728</v>
      </c>
      <c r="C114" s="10">
        <v>8.81</v>
      </c>
      <c r="D114" s="8" t="s">
        <v>40</v>
      </c>
      <c r="E114" s="8">
        <f t="shared" si="12"/>
        <v>1</v>
      </c>
      <c r="F114" s="15" t="s">
        <v>224</v>
      </c>
      <c r="G114" s="7" t="s">
        <v>185</v>
      </c>
      <c r="H114" s="7">
        <v>190</v>
      </c>
      <c r="I114" s="15">
        <v>110.13</v>
      </c>
      <c r="J114" s="15">
        <f>H114*I114</f>
        <v>20924.7</v>
      </c>
      <c r="K114" s="6">
        <f t="shared" si="14"/>
        <v>68261.08</v>
      </c>
      <c r="L114" s="6">
        <f t="shared" si="15"/>
        <v>2.7006107579897654</v>
      </c>
      <c r="M114" s="6"/>
      <c r="N114" s="6">
        <v>1.34</v>
      </c>
      <c r="O114" s="6">
        <v>2.7014</v>
      </c>
      <c r="P114" s="6"/>
    </row>
    <row r="115" spans="1:16" ht="15" customHeight="1" x14ac:dyDescent="0.3">
      <c r="A115" s="8" t="s">
        <v>221</v>
      </c>
      <c r="B115" s="9">
        <f>VLOOKUP(A115, 'Compound Classes'!$A$6:$C$23, 3, FALSE)</f>
        <v>9.1122369181598728</v>
      </c>
      <c r="C115" s="10">
        <v>8.81</v>
      </c>
      <c r="D115" s="8" t="s">
        <v>40</v>
      </c>
      <c r="E115" s="8">
        <f t="shared" si="12"/>
        <v>1</v>
      </c>
      <c r="F115" s="15" t="s">
        <v>225</v>
      </c>
      <c r="G115" s="7" t="s">
        <v>185</v>
      </c>
      <c r="H115" s="7">
        <v>380</v>
      </c>
      <c r="I115" s="15">
        <v>96.11</v>
      </c>
      <c r="J115" s="15">
        <f>H115*I115</f>
        <v>36521.800000000003</v>
      </c>
      <c r="K115" s="6">
        <f t="shared" si="14"/>
        <v>68261.08</v>
      </c>
      <c r="L115" s="6">
        <f t="shared" si="15"/>
        <v>4.7136238981276009</v>
      </c>
      <c r="M115" s="6"/>
      <c r="N115" s="6">
        <v>1.48</v>
      </c>
      <c r="O115" s="6">
        <v>4.7191000000000001</v>
      </c>
      <c r="P115" s="6"/>
    </row>
    <row r="116" spans="1:16" ht="15.6" x14ac:dyDescent="0.3">
      <c r="A116" s="8" t="s">
        <v>226</v>
      </c>
      <c r="B116" s="9">
        <f>VLOOKUP(A116, 'Compound Classes'!$A$6:$C$23, 3, FALSE)</f>
        <v>3.4000884022984597</v>
      </c>
      <c r="C116" s="10">
        <v>3.29</v>
      </c>
      <c r="D116" s="8" t="s">
        <v>40</v>
      </c>
      <c r="E116" s="8">
        <f t="shared" si="12"/>
        <v>1</v>
      </c>
      <c r="F116" s="15" t="s">
        <v>24</v>
      </c>
      <c r="G116" s="7" t="s">
        <v>227</v>
      </c>
      <c r="H116" s="8" t="s">
        <v>43</v>
      </c>
      <c r="I116" s="15">
        <v>60.055999999999997</v>
      </c>
      <c r="J116" s="6"/>
      <c r="K116" s="6">
        <f t="shared" si="14"/>
        <v>0</v>
      </c>
      <c r="L116" s="6">
        <f>C116</f>
        <v>3.29</v>
      </c>
      <c r="M116" s="6"/>
      <c r="N116" s="6"/>
      <c r="O116" s="6">
        <v>3.2887</v>
      </c>
      <c r="P116" s="6"/>
    </row>
    <row r="117" spans="1:16" hidden="1" x14ac:dyDescent="0.25">
      <c r="A117" s="7"/>
      <c r="B117" s="9"/>
      <c r="C117" s="7"/>
      <c r="D117" s="7"/>
      <c r="E117" s="7"/>
      <c r="F117" s="6"/>
      <c r="G117" s="6"/>
      <c r="H117" s="6"/>
      <c r="I117" s="6"/>
      <c r="J117" s="6"/>
      <c r="L117" s="7">
        <f>SUM(L2:L116)</f>
        <v>96.918409457104346</v>
      </c>
      <c r="M117" s="6"/>
      <c r="N117" s="6"/>
      <c r="O117" s="6"/>
      <c r="P117" s="6"/>
    </row>
    <row r="118" spans="1:16" hidden="1" x14ac:dyDescent="0.25">
      <c r="A118" s="7"/>
      <c r="B118" s="9"/>
      <c r="C118" s="7"/>
      <c r="D118" s="7"/>
      <c r="E118" s="7"/>
      <c r="F118" s="6"/>
      <c r="G118" s="6"/>
      <c r="H118" s="6"/>
      <c r="I118" s="6"/>
      <c r="J118" s="6"/>
      <c r="L118" s="6">
        <f>100-L117</f>
        <v>3.081590542895654</v>
      </c>
      <c r="M118" s="6"/>
      <c r="N118" s="6"/>
      <c r="O118" s="6"/>
      <c r="P118" s="6"/>
    </row>
    <row r="119" spans="1:16" x14ac:dyDescent="0.25">
      <c r="A119" s="8"/>
      <c r="B119" s="9"/>
      <c r="C119" s="10"/>
      <c r="D119" s="8"/>
      <c r="E119" s="8"/>
      <c r="F119" s="15"/>
      <c r="G119" s="7"/>
      <c r="H119" s="6"/>
      <c r="I119" s="15"/>
      <c r="J119" s="6"/>
      <c r="L119" s="6"/>
      <c r="M119" s="6"/>
      <c r="N119" s="6"/>
      <c r="O119" s="6">
        <f>SUM(O3:O118)</f>
        <v>67.073599999999999</v>
      </c>
      <c r="P119" s="6"/>
    </row>
  </sheetData>
  <sortState xmlns:xlrd2="http://schemas.microsoft.com/office/spreadsheetml/2017/richdata2" ref="A2:L116">
    <sortCondition ref="A2:A116"/>
  </sortState>
  <phoneticPr fontId="10" type="noConversion"/>
  <pageMargins left="0.7" right="0.7" top="0.75" bottom="0.75" header="0.3" footer="0.3"/>
  <pageSetup orientation="portrait" horizontalDpi="90" verticalDpi="90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6c150-1cfb-4e7c-8375-1e80ba3622d9" xsi:nil="true"/>
    <lcf76f155ced4ddcb4097134ff3c332f xmlns="f6ae59a6-1625-4e69-ac47-ede0f83b6d5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E923E8F57FA242BC96D474F6CFE7A7" ma:contentTypeVersion="14" ma:contentTypeDescription="Create a new document." ma:contentTypeScope="" ma:versionID="de31b0c830befa91ee317d0635214dbf">
  <xsd:schema xmlns:xsd="http://www.w3.org/2001/XMLSchema" xmlns:xs="http://www.w3.org/2001/XMLSchema" xmlns:p="http://schemas.microsoft.com/office/2006/metadata/properties" xmlns:ns2="f6ae59a6-1625-4e69-ac47-ede0f83b6d5f" xmlns:ns3="37b6c150-1cfb-4e7c-8375-1e80ba3622d9" targetNamespace="http://schemas.microsoft.com/office/2006/metadata/properties" ma:root="true" ma:fieldsID="57d6b0d1e01da90ae77db06a79b8bb08" ns2:_="" ns3:_="">
    <xsd:import namespace="f6ae59a6-1625-4e69-ac47-ede0f83b6d5f"/>
    <xsd:import namespace="37b6c150-1cfb-4e7c-8375-1e80ba3622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e59a6-1625-4e69-ac47-ede0f83b6d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529b43b-f1ef-4cba-aaa1-48c64b82b3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c150-1cfb-4e7c-8375-1e80ba3622d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9c2e699-1a86-44bf-8762-aa908bde7b7d}" ma:internalName="TaxCatchAll" ma:showField="CatchAllData" ma:web="37b6c150-1cfb-4e7c-8375-1e80ba3622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163D05-8728-448F-A53E-0D593CC43B69}">
  <ds:schemaRefs>
    <ds:schemaRef ds:uri="http://purl.org/dc/elements/1.1/"/>
    <ds:schemaRef ds:uri="http://purl.org/dc/dcmitype/"/>
    <ds:schemaRef ds:uri="http://schemas.openxmlformats.org/package/2006/metadata/core-properties"/>
    <ds:schemaRef ds:uri="37b6c150-1cfb-4e7c-8375-1e80ba3622d9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6ae59a6-1625-4e69-ac47-ede0f83b6d5f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BB9EA5D-8E2D-4EE7-BF41-E436F37EA1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EB6B68-1A36-4851-9950-267828B941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ae59a6-1625-4e69-ac47-ede0f83b6d5f"/>
    <ds:schemaRef ds:uri="37b6c150-1cfb-4e7c-8375-1e80ba36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 Classes</vt:lpstr>
      <vt:lpstr>All compounds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ccsu</dc:creator>
  <cp:keywords/>
  <dc:description/>
  <cp:lastModifiedBy>Glagovich, Avery V. (Student)</cp:lastModifiedBy>
  <cp:revision/>
  <dcterms:created xsi:type="dcterms:W3CDTF">2020-07-20T15:04:24Z</dcterms:created>
  <dcterms:modified xsi:type="dcterms:W3CDTF">2025-11-11T16:19:02Z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0x0101004AE923E8F57FA242BC96D474F6CFE7A7</vt:lpwstr>
  </property>
  <property fmtid="{D5CDD505-2E9C-101B-9397-08002B2CF9AE}" pid="3" name="MediaServiceImageTags">
    <vt:lpwstr/>
  </property>
</Properties>
</file>